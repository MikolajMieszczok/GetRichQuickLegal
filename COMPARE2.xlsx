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kołaj\Desktop\"/>
    </mc:Choice>
  </mc:AlternateContent>
  <xr:revisionPtr revIDLastSave="0" documentId="13_ncr:1_{AEC828F6-CB3F-42F0-BC11-5F1B77D729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Z500" i="1"/>
  <c r="AA503" i="1"/>
  <c r="AB503" i="1"/>
  <c r="AC503" i="1"/>
  <c r="Y503" i="1"/>
  <c r="AC502" i="1"/>
  <c r="AB502" i="1"/>
  <c r="AA502" i="1"/>
  <c r="Z502" i="1"/>
  <c r="Z503" i="1" s="1"/>
  <c r="Y502" i="1"/>
  <c r="Y3" i="1"/>
  <c r="Z3" i="1"/>
  <c r="AA3" i="1"/>
  <c r="AB3" i="1"/>
  <c r="AC3" i="1"/>
  <c r="Y4" i="1"/>
  <c r="Z4" i="1"/>
  <c r="AA4" i="1"/>
  <c r="AB4" i="1"/>
  <c r="AC4" i="1"/>
  <c r="Y5" i="1"/>
  <c r="Z5" i="1"/>
  <c r="AA5" i="1"/>
  <c r="AB5" i="1"/>
  <c r="AC5" i="1"/>
  <c r="Y6" i="1"/>
  <c r="Z6" i="1"/>
  <c r="AA6" i="1"/>
  <c r="AB6" i="1"/>
  <c r="AC6" i="1"/>
  <c r="Y7" i="1"/>
  <c r="Z7" i="1"/>
  <c r="AA7" i="1"/>
  <c r="AB7" i="1"/>
  <c r="AC7" i="1"/>
  <c r="Y8" i="1"/>
  <c r="Z8" i="1"/>
  <c r="AA8" i="1"/>
  <c r="AB8" i="1"/>
  <c r="AC8" i="1"/>
  <c r="Y9" i="1"/>
  <c r="Z9" i="1"/>
  <c r="AA9" i="1"/>
  <c r="AB9" i="1"/>
  <c r="AC9" i="1"/>
  <c r="Y10" i="1"/>
  <c r="Z10" i="1"/>
  <c r="AA10" i="1"/>
  <c r="AB10" i="1"/>
  <c r="AC10" i="1"/>
  <c r="Y11" i="1"/>
  <c r="Z11" i="1"/>
  <c r="AA11" i="1"/>
  <c r="AB11" i="1"/>
  <c r="AC11" i="1"/>
  <c r="Y12" i="1"/>
  <c r="Z12" i="1"/>
  <c r="AA12" i="1"/>
  <c r="AB12" i="1"/>
  <c r="AC12" i="1"/>
  <c r="Y13" i="1"/>
  <c r="Z13" i="1"/>
  <c r="AA13" i="1"/>
  <c r="AB13" i="1"/>
  <c r="AC13" i="1"/>
  <c r="Y14" i="1"/>
  <c r="Z14" i="1"/>
  <c r="AA14" i="1"/>
  <c r="AB14" i="1"/>
  <c r="AC14" i="1"/>
  <c r="Y15" i="1"/>
  <c r="Z15" i="1"/>
  <c r="AA15" i="1"/>
  <c r="AB15" i="1"/>
  <c r="AC15" i="1"/>
  <c r="Y16" i="1"/>
  <c r="Z16" i="1"/>
  <c r="AA16" i="1"/>
  <c r="AB16" i="1"/>
  <c r="AC16" i="1"/>
  <c r="Y17" i="1"/>
  <c r="Z17" i="1"/>
  <c r="AA17" i="1"/>
  <c r="AB17" i="1"/>
  <c r="AC17" i="1"/>
  <c r="Y18" i="1"/>
  <c r="Z18" i="1"/>
  <c r="AA18" i="1"/>
  <c r="AB18" i="1"/>
  <c r="AC18" i="1"/>
  <c r="Y19" i="1"/>
  <c r="Z19" i="1"/>
  <c r="AA19" i="1"/>
  <c r="AB19" i="1"/>
  <c r="AC19" i="1"/>
  <c r="Y20" i="1"/>
  <c r="Z20" i="1"/>
  <c r="AA20" i="1"/>
  <c r="AB20" i="1"/>
  <c r="AC20" i="1"/>
  <c r="Y21" i="1"/>
  <c r="Z21" i="1"/>
  <c r="AA21" i="1"/>
  <c r="AB21" i="1"/>
  <c r="AC21" i="1"/>
  <c r="Y22" i="1"/>
  <c r="Z22" i="1"/>
  <c r="AA22" i="1"/>
  <c r="AB22" i="1"/>
  <c r="AC22" i="1"/>
  <c r="Y23" i="1"/>
  <c r="Z23" i="1"/>
  <c r="AA23" i="1"/>
  <c r="AB23" i="1"/>
  <c r="AC23" i="1"/>
  <c r="Y24" i="1"/>
  <c r="Z24" i="1"/>
  <c r="AA24" i="1"/>
  <c r="AB24" i="1"/>
  <c r="AC24" i="1"/>
  <c r="Y25" i="1"/>
  <c r="Z25" i="1"/>
  <c r="AA25" i="1"/>
  <c r="AB25" i="1"/>
  <c r="AC25" i="1"/>
  <c r="Y26" i="1"/>
  <c r="Z26" i="1"/>
  <c r="AA26" i="1"/>
  <c r="AB26" i="1"/>
  <c r="AC26" i="1"/>
  <c r="Y27" i="1"/>
  <c r="Z27" i="1"/>
  <c r="AA27" i="1"/>
  <c r="AB27" i="1"/>
  <c r="AC27" i="1"/>
  <c r="Y28" i="1"/>
  <c r="Z28" i="1"/>
  <c r="AA28" i="1"/>
  <c r="AB28" i="1"/>
  <c r="AC28" i="1"/>
  <c r="Y29" i="1"/>
  <c r="Z29" i="1"/>
  <c r="AA29" i="1"/>
  <c r="AB29" i="1"/>
  <c r="AC29" i="1"/>
  <c r="Y30" i="1"/>
  <c r="Z30" i="1"/>
  <c r="AA30" i="1"/>
  <c r="AB30" i="1"/>
  <c r="AC30" i="1"/>
  <c r="Y31" i="1"/>
  <c r="Z31" i="1"/>
  <c r="AA31" i="1"/>
  <c r="AB31" i="1"/>
  <c r="AC31" i="1"/>
  <c r="Y32" i="1"/>
  <c r="Z32" i="1"/>
  <c r="AA32" i="1"/>
  <c r="AB32" i="1"/>
  <c r="AC32" i="1"/>
  <c r="Y33" i="1"/>
  <c r="Z33" i="1"/>
  <c r="AA33" i="1"/>
  <c r="AB33" i="1"/>
  <c r="AC33" i="1"/>
  <c r="Y34" i="1"/>
  <c r="Z34" i="1"/>
  <c r="AA34" i="1"/>
  <c r="AB34" i="1"/>
  <c r="AC34" i="1"/>
  <c r="Y35" i="1"/>
  <c r="Z35" i="1"/>
  <c r="AA35" i="1"/>
  <c r="AB35" i="1"/>
  <c r="AC35" i="1"/>
  <c r="Y36" i="1"/>
  <c r="Z36" i="1"/>
  <c r="AA36" i="1"/>
  <c r="AB36" i="1"/>
  <c r="AC36" i="1"/>
  <c r="Y37" i="1"/>
  <c r="Z37" i="1"/>
  <c r="AA37" i="1"/>
  <c r="AB37" i="1"/>
  <c r="AC37" i="1"/>
  <c r="Y38" i="1"/>
  <c r="Z38" i="1"/>
  <c r="AA38" i="1"/>
  <c r="AB38" i="1"/>
  <c r="AC38" i="1"/>
  <c r="Y39" i="1"/>
  <c r="Z39" i="1"/>
  <c r="AA39" i="1"/>
  <c r="AB39" i="1"/>
  <c r="AC39" i="1"/>
  <c r="Y40" i="1"/>
  <c r="Z40" i="1"/>
  <c r="AA40" i="1"/>
  <c r="AB40" i="1"/>
  <c r="AC40" i="1"/>
  <c r="Y41" i="1"/>
  <c r="Z41" i="1"/>
  <c r="AA41" i="1"/>
  <c r="AB41" i="1"/>
  <c r="AC41" i="1"/>
  <c r="Y42" i="1"/>
  <c r="Z42" i="1"/>
  <c r="AA42" i="1"/>
  <c r="AB42" i="1"/>
  <c r="AC42" i="1"/>
  <c r="Y43" i="1"/>
  <c r="Z43" i="1"/>
  <c r="AA43" i="1"/>
  <c r="AB43" i="1"/>
  <c r="AC43" i="1"/>
  <c r="Y44" i="1"/>
  <c r="Z44" i="1"/>
  <c r="AA44" i="1"/>
  <c r="AB44" i="1"/>
  <c r="AC44" i="1"/>
  <c r="Y45" i="1"/>
  <c r="Z45" i="1"/>
  <c r="AA45" i="1"/>
  <c r="AB45" i="1"/>
  <c r="AC45" i="1"/>
  <c r="Y46" i="1"/>
  <c r="Z46" i="1"/>
  <c r="AA46" i="1"/>
  <c r="AB46" i="1"/>
  <c r="AC46" i="1"/>
  <c r="Y47" i="1"/>
  <c r="Z47" i="1"/>
  <c r="AA47" i="1"/>
  <c r="AB47" i="1"/>
  <c r="AC47" i="1"/>
  <c r="Y48" i="1"/>
  <c r="Z48" i="1"/>
  <c r="AA48" i="1"/>
  <c r="AB48" i="1"/>
  <c r="AC48" i="1"/>
  <c r="Y49" i="1"/>
  <c r="Z49" i="1"/>
  <c r="AA49" i="1"/>
  <c r="AB49" i="1"/>
  <c r="AC49" i="1"/>
  <c r="Y50" i="1"/>
  <c r="Z50" i="1"/>
  <c r="AA50" i="1"/>
  <c r="AB50" i="1"/>
  <c r="AC50" i="1"/>
  <c r="Y51" i="1"/>
  <c r="Z51" i="1"/>
  <c r="AA51" i="1"/>
  <c r="AB51" i="1"/>
  <c r="AC51" i="1"/>
  <c r="Y52" i="1"/>
  <c r="Z52" i="1"/>
  <c r="AA52" i="1"/>
  <c r="AB52" i="1"/>
  <c r="AC52" i="1"/>
  <c r="Y53" i="1"/>
  <c r="Z53" i="1"/>
  <c r="AA53" i="1"/>
  <c r="AB53" i="1"/>
  <c r="AC53" i="1"/>
  <c r="Y54" i="1"/>
  <c r="Z54" i="1"/>
  <c r="AA54" i="1"/>
  <c r="AB54" i="1"/>
  <c r="AC54" i="1"/>
  <c r="Y55" i="1"/>
  <c r="Z55" i="1"/>
  <c r="AA55" i="1"/>
  <c r="AB55" i="1"/>
  <c r="AC55" i="1"/>
  <c r="Y56" i="1"/>
  <c r="Z56" i="1"/>
  <c r="AA56" i="1"/>
  <c r="AB56" i="1"/>
  <c r="AC56" i="1"/>
  <c r="Y57" i="1"/>
  <c r="Z57" i="1"/>
  <c r="AA57" i="1"/>
  <c r="AB57" i="1"/>
  <c r="AC57" i="1"/>
  <c r="Y58" i="1"/>
  <c r="Z58" i="1"/>
  <c r="AA58" i="1"/>
  <c r="AB58" i="1"/>
  <c r="AC58" i="1"/>
  <c r="Y59" i="1"/>
  <c r="Z59" i="1"/>
  <c r="AA59" i="1"/>
  <c r="AB59" i="1"/>
  <c r="AC59" i="1"/>
  <c r="Y60" i="1"/>
  <c r="Z60" i="1"/>
  <c r="AA60" i="1"/>
  <c r="AB60" i="1"/>
  <c r="AC60" i="1"/>
  <c r="Y61" i="1"/>
  <c r="Z61" i="1"/>
  <c r="AA61" i="1"/>
  <c r="AB61" i="1"/>
  <c r="AC61" i="1"/>
  <c r="Y62" i="1"/>
  <c r="Z62" i="1"/>
  <c r="AA62" i="1"/>
  <c r="AB62" i="1"/>
  <c r="AC62" i="1"/>
  <c r="Y63" i="1"/>
  <c r="Z63" i="1"/>
  <c r="AA63" i="1"/>
  <c r="AB63" i="1"/>
  <c r="AC63" i="1"/>
  <c r="Y64" i="1"/>
  <c r="Z64" i="1"/>
  <c r="AA64" i="1"/>
  <c r="AB64" i="1"/>
  <c r="AC64" i="1"/>
  <c r="Y65" i="1"/>
  <c r="Z65" i="1"/>
  <c r="AA65" i="1"/>
  <c r="AB65" i="1"/>
  <c r="AC65" i="1"/>
  <c r="Y66" i="1"/>
  <c r="Z66" i="1"/>
  <c r="AA66" i="1"/>
  <c r="AB66" i="1"/>
  <c r="AC66" i="1"/>
  <c r="Y67" i="1"/>
  <c r="Z67" i="1"/>
  <c r="AA67" i="1"/>
  <c r="AB67" i="1"/>
  <c r="AC67" i="1"/>
  <c r="Y68" i="1"/>
  <c r="Z68" i="1"/>
  <c r="AA68" i="1"/>
  <c r="AB68" i="1"/>
  <c r="AC68" i="1"/>
  <c r="Y69" i="1"/>
  <c r="Z69" i="1"/>
  <c r="AA69" i="1"/>
  <c r="AB69" i="1"/>
  <c r="AC69" i="1"/>
  <c r="Y70" i="1"/>
  <c r="Z70" i="1"/>
  <c r="AA70" i="1"/>
  <c r="AB70" i="1"/>
  <c 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r="AA73" i="1"/>
  <c r="AB73" i="1"/>
  <c r="AC73" i="1"/>
  <c r="Y74" i="1"/>
  <c r="Z74" i="1"/>
  <c r="AA74" i="1"/>
  <c r="AB74" i="1"/>
  <c r="AC74" i="1"/>
  <c r="Y75" i="1"/>
  <c r="Z75" i="1"/>
  <c r="AA75" i="1"/>
  <c r="AB75" i="1"/>
  <c r="AC75" i="1"/>
  <c r="Y76" i="1"/>
  <c r="Z76" i="1"/>
  <c r="AA76" i="1"/>
  <c r="AB76" i="1"/>
  <c r="AC76" i="1"/>
  <c r="Y77" i="1"/>
  <c r="Z77" i="1"/>
  <c r="AA77" i="1"/>
  <c r="AB77" i="1"/>
  <c r="AC77" i="1"/>
  <c r="Y78" i="1"/>
  <c r="Z78" i="1"/>
  <c r="AA78" i="1"/>
  <c r="AB78" i="1"/>
  <c r="AC78" i="1"/>
  <c r="Y79" i="1"/>
  <c r="Z79" i="1"/>
  <c r="AA79" i="1"/>
  <c r="AB79" i="1"/>
  <c r="AC79" i="1"/>
  <c r="Y80" i="1"/>
  <c r="Z80" i="1"/>
  <c r="AA80" i="1"/>
  <c r="AB80" i="1"/>
  <c r="AC80" i="1"/>
  <c r="Y81" i="1"/>
  <c r="Z81" i="1"/>
  <c r="AA81" i="1"/>
  <c r="AB81" i="1"/>
  <c r="AC81" i="1"/>
  <c r="Y82" i="1"/>
  <c r="Z82" i="1"/>
  <c r="AA82" i="1"/>
  <c r="AB82" i="1"/>
  <c r="AC82" i="1"/>
  <c r="Y83" i="1"/>
  <c r="Z83" i="1"/>
  <c r="AA83" i="1"/>
  <c r="AB83" i="1"/>
  <c r="AC83" i="1"/>
  <c r="Y84" i="1"/>
  <c r="Z84" i="1"/>
  <c r="AA84" i="1"/>
  <c r="AB84" i="1"/>
  <c r="AC84" i="1"/>
  <c r="Y85" i="1"/>
  <c r="Z85" i="1"/>
  <c r="AA85" i="1"/>
  <c r="AB85" i="1"/>
  <c r="AC85" i="1"/>
  <c r="Y86" i="1"/>
  <c r="Z86" i="1"/>
  <c r="AA86" i="1"/>
  <c r="AB86" i="1"/>
  <c r="AC86" i="1"/>
  <c r="Y87" i="1"/>
  <c r="Z87" i="1"/>
  <c r="AA87" i="1"/>
  <c r="AB87" i="1"/>
  <c r="AC87" i="1"/>
  <c r="Y88" i="1"/>
  <c r="Z88" i="1"/>
  <c r="AA88" i="1"/>
  <c r="AB88" i="1"/>
  <c r="AC88" i="1"/>
  <c r="Y89" i="1"/>
  <c r="Z89" i="1"/>
  <c r="AA89" i="1"/>
  <c r="AB89" i="1"/>
  <c r="AC89" i="1"/>
  <c r="Y90" i="1"/>
  <c r="Z90" i="1"/>
  <c r="AA90" i="1"/>
  <c r="AB90" i="1"/>
  <c r="AC90" i="1"/>
  <c r="Y91" i="1"/>
  <c r="Z91" i="1"/>
  <c r="AA91" i="1"/>
  <c r="AB91" i="1"/>
  <c r="AC91" i="1"/>
  <c r="Y92" i="1"/>
  <c r="Z92" i="1"/>
  <c r="AA92" i="1"/>
  <c r="AB92" i="1"/>
  <c r="AC92" i="1"/>
  <c r="Y93" i="1"/>
  <c r="Z93" i="1"/>
  <c r="AA93" i="1"/>
  <c r="AB93" i="1"/>
  <c r="AC93" i="1"/>
  <c r="Y94" i="1"/>
  <c r="Z94" i="1"/>
  <c r="AA94" i="1"/>
  <c r="AB94" i="1"/>
  <c r="AC94" i="1"/>
  <c r="Y95" i="1"/>
  <c r="Z95" i="1"/>
  <c r="AA95" i="1"/>
  <c r="AB95" i="1"/>
  <c r="AC95" i="1"/>
  <c r="Y96" i="1"/>
  <c r="Z96" i="1"/>
  <c r="AA96" i="1"/>
  <c r="AB96" i="1"/>
  <c r="AC96" i="1"/>
  <c r="Y97" i="1"/>
  <c r="Z97" i="1"/>
  <c r="AA97" i="1"/>
  <c r="AB97" i="1"/>
  <c r="AC97" i="1"/>
  <c r="Y98" i="1"/>
  <c r="Z98" i="1"/>
  <c r="AA98" i="1"/>
  <c r="AB98" i="1"/>
  <c r="AC98" i="1"/>
  <c r="Y99" i="1"/>
  <c r="Z99" i="1"/>
  <c r="AA99" i="1"/>
  <c r="AB99" i="1"/>
  <c r="AC99" i="1"/>
  <c r="Y100" i="1"/>
  <c r="Z100" i="1"/>
  <c r="AA100" i="1"/>
  <c r="AB100" i="1"/>
  <c r="AC100" i="1"/>
  <c r="Y101" i="1"/>
  <c r="Z101" i="1"/>
  <c r="AA101" i="1"/>
  <c r="AB101" i="1"/>
  <c r="AC101" i="1"/>
  <c r="Y102" i="1"/>
  <c r="Z102" i="1"/>
  <c r="AA102" i="1"/>
  <c r="AB102" i="1"/>
  <c r="AC102" i="1"/>
  <c r="Y103" i="1"/>
  <c r="Z103" i="1"/>
  <c r="AA103" i="1"/>
  <c r="AB103" i="1"/>
  <c r="AC103" i="1"/>
  <c r="Y104" i="1"/>
  <c r="Z104" i="1"/>
  <c r="AA104" i="1"/>
  <c r="AB104" i="1"/>
  <c r="AC104" i="1"/>
  <c r="Y105" i="1"/>
  <c r="Z105" i="1"/>
  <c r="AA105" i="1"/>
  <c r="AB105" i="1"/>
  <c r="AC105" i="1"/>
  <c r="Y106" i="1"/>
  <c r="Z106" i="1"/>
  <c r="AA106" i="1"/>
  <c r="AB106" i="1"/>
  <c r="AC106" i="1"/>
  <c r="Y107" i="1"/>
  <c r="Z107" i="1"/>
  <c r="AA107" i="1"/>
  <c r="AB107" i="1"/>
  <c r="AC107" i="1"/>
  <c r="Y108" i="1"/>
  <c r="Z108" i="1"/>
  <c r="AA108" i="1"/>
  <c r="AB108" i="1"/>
  <c r="AC108" i="1"/>
  <c r="Y109" i="1"/>
  <c r="Z109" i="1"/>
  <c r="AA109" i="1"/>
  <c r="AB109" i="1"/>
  <c r="AC109" i="1"/>
  <c r="Y110" i="1"/>
  <c r="Z110" i="1"/>
  <c r="AA110" i="1"/>
  <c r="AB110" i="1"/>
  <c r="AC110" i="1"/>
  <c r="Y111" i="1"/>
  <c r="Z111" i="1"/>
  <c r="AA111" i="1"/>
  <c r="AB111" i="1"/>
  <c r="AC111" i="1"/>
  <c r="Y112" i="1"/>
  <c r="Z112" i="1"/>
  <c r="AA112" i="1"/>
  <c r="AB112" i="1"/>
  <c r="AC112" i="1"/>
  <c r="Y113" i="1"/>
  <c r="Z113" i="1"/>
  <c r="AA113" i="1"/>
  <c r="AB113" i="1"/>
  <c r="AC113" i="1"/>
  <c r="Y114" i="1"/>
  <c r="Z114" i="1"/>
  <c r="AA114" i="1"/>
  <c r="AB114" i="1"/>
  <c r="AC114" i="1"/>
  <c r="Y115" i="1"/>
  <c r="Z115" i="1"/>
  <c r="AA115" i="1"/>
  <c r="AB115" i="1"/>
  <c r="AC115" i="1"/>
  <c r="Y116" i="1"/>
  <c r="Z116" i="1"/>
  <c r="AA116" i="1"/>
  <c r="AB116" i="1"/>
  <c r="AC116" i="1"/>
  <c r="Y117" i="1"/>
  <c r="Z117" i="1"/>
  <c r="AA117" i="1"/>
  <c r="AB117" i="1"/>
  <c r="AC117" i="1"/>
  <c r="Y118" i="1"/>
  <c r="Z118" i="1"/>
  <c r="AA118" i="1"/>
  <c r="AB118" i="1"/>
  <c r="AC118" i="1"/>
  <c r="Y119" i="1"/>
  <c r="Z119" i="1"/>
  <c r="AA119" i="1"/>
  <c r="AB119" i="1"/>
  <c r="AC119" i="1"/>
  <c r="Y120" i="1"/>
  <c r="Z120" i="1"/>
  <c r="AA120" i="1"/>
  <c r="AB120" i="1"/>
  <c r="AC120" i="1"/>
  <c r="Y121" i="1"/>
  <c r="Z121" i="1"/>
  <c r="AA121" i="1"/>
  <c r="AB121" i="1"/>
  <c r="AC121" i="1"/>
  <c r="Y122" i="1"/>
  <c r="Z122" i="1"/>
  <c r="AA122" i="1"/>
  <c r="AB122" i="1"/>
  <c r="AC122" i="1"/>
  <c r="Y123" i="1"/>
  <c r="Z123" i="1"/>
  <c r="AA123" i="1"/>
  <c r="AB123" i="1"/>
  <c r="AC123" i="1"/>
  <c r="Y124" i="1"/>
  <c r="Z124" i="1"/>
  <c r="AA124" i="1"/>
  <c r="AB124" i="1"/>
  <c r="AC124" i="1"/>
  <c r="Y125" i="1"/>
  <c r="Z125" i="1"/>
  <c r="AA125" i="1"/>
  <c r="AB125" i="1"/>
  <c r="AC125" i="1"/>
  <c r="Y126" i="1"/>
  <c r="Z126" i="1"/>
  <c r="AA126" i="1"/>
  <c r="AB126" i="1"/>
  <c r="AC126" i="1"/>
  <c r="Y127" i="1"/>
  <c r="Z127" i="1"/>
  <c r="AA127" i="1"/>
  <c r="AB127" i="1"/>
  <c r="AC127" i="1"/>
  <c r="Y128" i="1"/>
  <c r="Z128" i="1"/>
  <c r="AA128" i="1"/>
  <c r="AB128" i="1"/>
  <c r="AC128" i="1"/>
  <c r="Y129" i="1"/>
  <c r="Z129" i="1"/>
  <c r="AA129" i="1"/>
  <c r="AB129" i="1"/>
  <c r="AC129" i="1"/>
  <c r="Y130" i="1"/>
  <c r="Z130" i="1"/>
  <c r="AA130" i="1"/>
  <c r="AB130" i="1"/>
  <c r="AC130" i="1"/>
  <c r="Y131" i="1"/>
  <c r="Z131" i="1"/>
  <c r="AA131" i="1"/>
  <c r="AB131" i="1"/>
  <c r="AC131" i="1"/>
  <c r="Y132" i="1"/>
  <c r="Z132" i="1"/>
  <c r="AA132" i="1"/>
  <c r="AB132" i="1"/>
  <c r="AC132" i="1"/>
  <c r="Y133" i="1"/>
  <c r="Z133" i="1"/>
  <c r="AA133" i="1"/>
  <c r="AB133" i="1"/>
  <c r="AC133" i="1"/>
  <c r="Y134" i="1"/>
  <c r="Z134" i="1"/>
  <c r="AA134" i="1"/>
  <c r="AB134" i="1"/>
  <c r="AC134" i="1"/>
  <c r="Y135" i="1"/>
  <c r="Z135" i="1"/>
  <c r="AA135" i="1"/>
  <c r="AB135" i="1"/>
  <c r="AC135" i="1"/>
  <c r="Y136" i="1"/>
  <c r="Z136" i="1"/>
  <c r="AA136" i="1"/>
  <c r="AB136" i="1"/>
  <c r="AC136" i="1"/>
  <c r="Y137" i="1"/>
  <c r="Z137" i="1"/>
  <c r="AA137" i="1"/>
  <c r="AB137" i="1"/>
  <c r="AC137" i="1"/>
  <c r="Y138" i="1"/>
  <c r="Z138" i="1"/>
  <c r="AA138" i="1"/>
  <c r="AB138" i="1"/>
  <c r="AC138" i="1"/>
  <c r="Y139" i="1"/>
  <c r="Z139" i="1"/>
  <c r="AA139" i="1"/>
  <c r="AB139" i="1"/>
  <c r="AC139" i="1"/>
  <c r="Y140" i="1"/>
  <c r="Z140" i="1"/>
  <c r="AA140" i="1"/>
  <c r="AB140" i="1"/>
  <c r="AC140" i="1"/>
  <c r="Y141" i="1"/>
  <c r="Z141" i="1"/>
  <c r="AA141" i="1"/>
  <c r="AB141" i="1"/>
  <c r="AC141" i="1"/>
  <c r="Y142" i="1"/>
  <c r="Z142" i="1"/>
  <c r="AA142" i="1"/>
  <c r="AB142" i="1"/>
  <c r="AC142" i="1"/>
  <c r="Y143" i="1"/>
  <c r="Z143" i="1"/>
  <c r="AA143" i="1"/>
  <c r="AB143" i="1"/>
  <c r="AC143" i="1"/>
  <c r="Y144" i="1"/>
  <c r="Z144" i="1"/>
  <c r="AA144" i="1"/>
  <c r="AB144" i="1"/>
  <c r="AC144" i="1"/>
  <c r="Y145" i="1"/>
  <c r="Z145" i="1"/>
  <c r="AA145" i="1"/>
  <c r="AB145" i="1"/>
  <c r="AC145" i="1"/>
  <c r="Y146" i="1"/>
  <c r="Z146" i="1"/>
  <c r="AA146" i="1"/>
  <c r="AB146" i="1"/>
  <c r="AC146" i="1"/>
  <c r="Y147" i="1"/>
  <c r="Z147" i="1"/>
  <c r="AA147" i="1"/>
  <c r="AB147" i="1"/>
  <c r="AC147" i="1"/>
  <c r="Y148" i="1"/>
  <c r="Z148" i="1"/>
  <c r="AA148" i="1"/>
  <c r="AB148" i="1"/>
  <c r="AC148" i="1"/>
  <c r="Y149" i="1"/>
  <c r="Z149" i="1"/>
  <c r="AA149" i="1"/>
  <c r="AB149" i="1"/>
  <c r="AC149" i="1"/>
  <c r="Y150" i="1"/>
  <c r="Z150" i="1"/>
  <c r="AA150" i="1"/>
  <c r="AB150" i="1"/>
  <c r="AC150" i="1"/>
  <c r="Y151" i="1"/>
  <c r="Z151" i="1"/>
  <c r="AA151" i="1"/>
  <c r="AB151" i="1"/>
  <c r="AC151" i="1"/>
  <c r="Y152" i="1"/>
  <c r="Z152" i="1"/>
  <c r="AA152" i="1"/>
  <c r="AB152" i="1"/>
  <c r="AC152" i="1"/>
  <c r="Y153" i="1"/>
  <c r="Z153" i="1"/>
  <c r="AA153" i="1"/>
  <c r="AB153" i="1"/>
  <c r="AC153" i="1"/>
  <c r="Y154" i="1"/>
  <c r="Z154" i="1"/>
  <c r="AA154" i="1"/>
  <c r="AB154" i="1"/>
  <c r="AC154" i="1"/>
  <c r="Y155" i="1"/>
  <c r="Z155" i="1"/>
  <c r="AA155" i="1"/>
  <c r="AB155" i="1"/>
  <c r="AC155" i="1"/>
  <c r="Y156" i="1"/>
  <c r="Z156" i="1"/>
  <c r="AA156" i="1"/>
  <c r="AB156" i="1"/>
  <c r="AC156" i="1"/>
  <c r="Y157" i="1"/>
  <c r="Z157" i="1"/>
  <c r="AA157" i="1"/>
  <c r="AB157" i="1"/>
  <c r="AC157" i="1"/>
  <c r="Y158" i="1"/>
  <c r="Z158" i="1"/>
  <c r="AA158" i="1"/>
  <c r="AB158" i="1"/>
  <c r="AC158" i="1"/>
  <c r="Y159" i="1"/>
  <c r="Z159" i="1"/>
  <c r="AA159" i="1"/>
  <c r="AB159" i="1"/>
  <c r="AC159" i="1"/>
  <c r="Y160" i="1"/>
  <c r="Z160" i="1"/>
  <c r="AA160" i="1"/>
  <c r="AB160" i="1"/>
  <c r="AC160" i="1"/>
  <c r="Y161" i="1"/>
  <c r="Z161" i="1"/>
  <c r="AA161" i="1"/>
  <c r="AB161" i="1"/>
  <c r="AC161" i="1"/>
  <c r="Y162" i="1"/>
  <c r="Z162" i="1"/>
  <c r="AA162" i="1"/>
  <c r="AB162" i="1"/>
  <c r="AC162" i="1"/>
  <c r="Y163" i="1"/>
  <c r="Z163" i="1"/>
  <c r="AA163" i="1"/>
  <c r="AB163" i="1"/>
  <c r="AC163" i="1"/>
  <c r="Y164" i="1"/>
  <c r="Z164" i="1"/>
  <c r="AA164" i="1"/>
  <c r="AB164" i="1"/>
  <c r="AC164" i="1"/>
  <c r="Y165" i="1"/>
  <c r="Z165" i="1"/>
  <c r="AA165" i="1"/>
  <c r="AB165" i="1"/>
  <c r="AC165" i="1"/>
  <c r="Y166" i="1"/>
  <c r="Z166" i="1"/>
  <c r="AA166" i="1"/>
  <c r="AB166" i="1"/>
  <c r="AC166" i="1"/>
  <c r="Y167" i="1"/>
  <c r="Z167" i="1"/>
  <c r="AA167" i="1"/>
  <c r="AB167" i="1"/>
  <c r="AC167" i="1"/>
  <c r="Y168" i="1"/>
  <c r="Z168" i="1"/>
  <c r="AA168" i="1"/>
  <c r="AB168" i="1"/>
  <c r="AC168" i="1"/>
  <c r="Y169" i="1"/>
  <c r="Z169" i="1"/>
  <c r="AA169" i="1"/>
  <c r="AB169" i="1"/>
  <c r="AC169" i="1"/>
  <c r="Y170" i="1"/>
  <c r="Z170" i="1"/>
  <c r="AA170" i="1"/>
  <c r="AB170" i="1"/>
  <c r="AC170" i="1"/>
  <c r="Y171" i="1"/>
  <c r="Z171" i="1"/>
  <c r="AA171" i="1"/>
  <c r="AB171" i="1"/>
  <c r="AC171" i="1"/>
  <c r="Y172" i="1"/>
  <c r="Z172" i="1"/>
  <c r="AA172" i="1"/>
  <c r="AB172" i="1"/>
  <c r="AC172" i="1"/>
  <c r="Y173" i="1"/>
  <c r="Z173" i="1"/>
  <c r="AA173" i="1"/>
  <c r="AB173" i="1"/>
  <c r="AC173" i="1"/>
  <c r="Y174" i="1"/>
  <c r="Z174" i="1"/>
  <c r="AA174" i="1"/>
  <c r="AB174" i="1"/>
  <c r="AC174" i="1"/>
  <c r="Y175" i="1"/>
  <c r="Z175" i="1"/>
  <c r="AA175" i="1"/>
  <c r="AB175" i="1"/>
  <c r="AC175" i="1"/>
  <c r="Y176" i="1"/>
  <c r="Z176" i="1"/>
  <c r="AA176" i="1"/>
  <c r="AB176" i="1"/>
  <c r="AC176" i="1"/>
  <c r="Y177" i="1"/>
  <c r="Z177" i="1"/>
  <c r="AA177" i="1"/>
  <c r="AB177" i="1"/>
  <c r="AC177" i="1"/>
  <c r="Y178" i="1"/>
  <c r="Z178" i="1"/>
  <c r="AA178" i="1"/>
  <c r="AB178" i="1"/>
  <c r="AC178" i="1"/>
  <c r="Y179" i="1"/>
  <c r="Z179" i="1"/>
  <c r="AA179" i="1"/>
  <c r="AB179" i="1"/>
  <c r="AC179" i="1"/>
  <c r="Y180" i="1"/>
  <c r="Z180" i="1"/>
  <c r="AA180" i="1"/>
  <c r="AB180" i="1"/>
  <c r="AC180" i="1"/>
  <c r="Y181" i="1"/>
  <c r="Z181" i="1"/>
  <c r="AA181" i="1"/>
  <c r="AB181" i="1"/>
  <c r="AC181" i="1"/>
  <c r="Y182" i="1"/>
  <c r="Z182" i="1"/>
  <c r="AA182" i="1"/>
  <c r="AB182" i="1"/>
  <c r="AC182" i="1"/>
  <c r="Y183" i="1"/>
  <c r="Z183" i="1"/>
  <c r="AA183" i="1"/>
  <c r="AB183" i="1"/>
  <c r="AC183" i="1"/>
  <c r="Y184" i="1"/>
  <c r="Z184" i="1"/>
  <c r="AA184" i="1"/>
  <c r="AB184" i="1"/>
  <c r="AC184" i="1"/>
  <c r="Y185" i="1"/>
  <c r="Z185" i="1"/>
  <c r="AA185" i="1"/>
  <c r="AB185" i="1"/>
  <c r="AC185" i="1"/>
  <c r="Y186" i="1"/>
  <c r="Z186" i="1"/>
  <c r="AA186" i="1"/>
  <c r="AB186" i="1"/>
  <c r="AC186" i="1"/>
  <c r="Y187" i="1"/>
  <c r="Z187" i="1"/>
  <c r="AA187" i="1"/>
  <c r="AB187" i="1"/>
  <c r="AC187" i="1"/>
  <c r="Y188" i="1"/>
  <c r="Z188" i="1"/>
  <c r="AA188" i="1"/>
  <c r="AB188" i="1"/>
  <c r="AC188" i="1"/>
  <c r="Y189" i="1"/>
  <c r="Z189" i="1"/>
  <c r="AA189" i="1"/>
  <c r="AB189" i="1"/>
  <c r="AC189" i="1"/>
  <c r="Y190" i="1"/>
  <c r="Z190" i="1"/>
  <c r="AA190" i="1"/>
  <c r="AB190" i="1"/>
  <c r="AC190" i="1"/>
  <c r="Y191" i="1"/>
  <c r="Z191" i="1"/>
  <c r="AA191" i="1"/>
  <c r="AB191" i="1"/>
  <c r="AC191" i="1"/>
  <c r="Y192" i="1"/>
  <c r="Z192" i="1"/>
  <c r="AA192" i="1"/>
  <c r="AB192" i="1"/>
  <c r="AC192" i="1"/>
  <c r="Y193" i="1"/>
  <c r="Z193" i="1"/>
  <c r="AA193" i="1"/>
  <c r="AB193" i="1"/>
  <c r="AC193" i="1"/>
  <c r="Y194" i="1"/>
  <c r="Z194" i="1"/>
  <c r="AA194" i="1"/>
  <c r="AB194" i="1"/>
  <c r="AC194" i="1"/>
  <c r="Y195" i="1"/>
  <c r="Z195" i="1"/>
  <c r="AA195" i="1"/>
  <c r="AB195" i="1"/>
  <c r="AC195" i="1"/>
  <c r="Y196" i="1"/>
  <c r="Z196" i="1"/>
  <c r="AA196" i="1"/>
  <c r="AB196" i="1"/>
  <c r="AC196" i="1"/>
  <c r="Y197" i="1"/>
  <c r="Z197" i="1"/>
  <c r="AA197" i="1"/>
  <c r="AB197" i="1"/>
  <c r="AC197" i="1"/>
  <c r="Y198" i="1"/>
  <c r="Z198" i="1"/>
  <c r="AA198" i="1"/>
  <c r="AB198" i="1"/>
  <c r="AC198" i="1"/>
  <c r="Y199" i="1"/>
  <c r="Z199" i="1"/>
  <c r="AA199" i="1"/>
  <c r="AB199" i="1"/>
  <c r="AC199" i="1"/>
  <c r="Y200" i="1"/>
  <c r="Z200" i="1"/>
  <c r="AA200" i="1"/>
  <c r="AB200" i="1"/>
  <c r="AC200" i="1"/>
  <c r="Y201" i="1"/>
  <c r="Z201" i="1"/>
  <c r="AA201" i="1"/>
  <c r="AB201" i="1"/>
  <c r="AC201" i="1"/>
  <c r="Y202" i="1"/>
  <c r="Z202" i="1"/>
  <c r="AA202" i="1"/>
  <c r="AB202" i="1"/>
  <c r="AC202" i="1"/>
  <c r="Y203" i="1"/>
  <c r="Z203" i="1"/>
  <c r="AA203" i="1"/>
  <c r="AB203" i="1"/>
  <c r="AC203" i="1"/>
  <c r="Y204" i="1"/>
  <c r="Z204" i="1"/>
  <c r="AA204" i="1"/>
  <c r="AB204" i="1"/>
  <c r="AC204" i="1"/>
  <c r="Y205" i="1"/>
  <c r="Z205" i="1"/>
  <c r="AA205" i="1"/>
  <c r="AB205" i="1"/>
  <c r="AC205" i="1"/>
  <c r="Y206" i="1"/>
  <c r="Z206" i="1"/>
  <c r="AA206" i="1"/>
  <c r="AB206" i="1"/>
  <c r="AC206" i="1"/>
  <c r="Y207" i="1"/>
  <c r="Z207" i="1"/>
  <c r="AA207" i="1"/>
  <c r="AB207" i="1"/>
  <c r="AC207" i="1"/>
  <c r="Y208" i="1"/>
  <c r="Z208" i="1"/>
  <c r="AA208" i="1"/>
  <c r="AB208" i="1"/>
  <c r="AC208" i="1"/>
  <c r="Y209" i="1"/>
  <c r="Z209" i="1"/>
  <c r="AA209" i="1"/>
  <c r="AB209" i="1"/>
  <c r="AC209" i="1"/>
  <c r="Y210" i="1"/>
  <c r="Z210" i="1"/>
  <c r="AA210" i="1"/>
  <c r="AB210" i="1"/>
  <c r="AC210" i="1"/>
  <c r="Y211" i="1"/>
  <c r="Z211" i="1"/>
  <c r="AA211" i="1"/>
  <c r="AB211" i="1"/>
  <c r="AC211" i="1"/>
  <c r="Y212" i="1"/>
  <c r="Z212" i="1"/>
  <c r="AA212" i="1"/>
  <c r="AB212" i="1"/>
  <c r="AC212" i="1"/>
  <c r="Y213" i="1"/>
  <c r="Z213" i="1"/>
  <c r="AA213" i="1"/>
  <c r="AB213" i="1"/>
  <c r="AC213" i="1"/>
  <c r="Y214" i="1"/>
  <c r="Z214" i="1"/>
  <c r="AA214" i="1"/>
  <c r="AB214" i="1"/>
  <c r="AC214" i="1"/>
  <c r="Y215" i="1"/>
  <c r="Z215" i="1"/>
  <c r="AA215" i="1"/>
  <c r="AB215" i="1"/>
  <c r="AC215" i="1"/>
  <c r="Y216" i="1"/>
  <c r="Z216" i="1"/>
  <c r="AA216" i="1"/>
  <c r="AB216" i="1"/>
  <c r="AC216" i="1"/>
  <c r="Y217" i="1"/>
  <c r="Z217" i="1"/>
  <c r="AA217" i="1"/>
  <c r="AB217" i="1"/>
  <c r="AC217" i="1"/>
  <c r="Y218" i="1"/>
  <c r="Z218" i="1"/>
  <c r="AA218" i="1"/>
  <c r="AB218" i="1"/>
  <c r="AC218" i="1"/>
  <c r="Y219" i="1"/>
  <c r="Z219" i="1"/>
  <c r="AA219" i="1"/>
  <c r="AB219" i="1"/>
  <c r="AC219" i="1"/>
  <c r="Y220" i="1"/>
  <c r="Z220" i="1"/>
  <c r="AA220" i="1"/>
  <c r="AB220" i="1"/>
  <c r="AC220" i="1"/>
  <c r="Y221" i="1"/>
  <c r="Z221" i="1"/>
  <c r="AA221" i="1"/>
  <c r="AB221" i="1"/>
  <c r="AC221" i="1"/>
  <c r="Y222" i="1"/>
  <c r="Z222" i="1"/>
  <c r="AA222" i="1"/>
  <c r="AB222" i="1"/>
  <c r="AC222" i="1"/>
  <c r="Y223" i="1"/>
  <c r="Z223" i="1"/>
  <c r="AA223" i="1"/>
  <c r="AB223" i="1"/>
  <c r="AC223" i="1"/>
  <c r="Y224" i="1"/>
  <c r="Z224" i="1"/>
  <c r="AA224" i="1"/>
  <c r="AB224" i="1"/>
  <c r="AC224" i="1"/>
  <c r="Y225" i="1"/>
  <c r="Z225" i="1"/>
  <c r="AA225" i="1"/>
  <c r="AB225" i="1"/>
  <c r="AC225" i="1"/>
  <c r="Y226" i="1"/>
  <c r="Z226" i="1"/>
  <c r="AA226" i="1"/>
  <c r="AB226" i="1"/>
  <c r="AC226" i="1"/>
  <c r="Y227" i="1"/>
  <c r="Z227" i="1"/>
  <c r="AA227" i="1"/>
  <c r="AB227" i="1"/>
  <c r="AC227" i="1"/>
  <c r="Y228" i="1"/>
  <c r="Z228" i="1"/>
  <c r="AA228" i="1"/>
  <c r="AB228" i="1"/>
  <c r="AC228" i="1"/>
  <c r="Y229" i="1"/>
  <c r="Z229" i="1"/>
  <c r="AA229" i="1"/>
  <c r="AB229" i="1"/>
  <c r="AC229" i="1"/>
  <c r="Y230" i="1"/>
  <c r="Z230" i="1"/>
  <c r="AA230" i="1"/>
  <c r="AB230" i="1"/>
  <c r="AC230" i="1"/>
  <c r="Y231" i="1"/>
  <c r="Z231" i="1"/>
  <c r="AA231" i="1"/>
  <c r="AB231" i="1"/>
  <c r="AC231" i="1"/>
  <c r="Y232" i="1"/>
  <c r="Z232" i="1"/>
  <c r="AA232" i="1"/>
  <c r="AB232" i="1"/>
  <c r="AC232" i="1"/>
  <c r="Y233" i="1"/>
  <c r="Z233" i="1"/>
  <c r="AA233" i="1"/>
  <c r="AB233" i="1"/>
  <c r="AC233" i="1"/>
  <c r="Y234" i="1"/>
  <c r="Z234" i="1"/>
  <c r="AA234" i="1"/>
  <c r="AB234" i="1"/>
  <c r="AC234" i="1"/>
  <c r="Y235" i="1"/>
  <c r="Z235" i="1"/>
  <c r="AA235" i="1"/>
  <c r="AB235" i="1"/>
  <c r="AC235" i="1"/>
  <c r="Y236" i="1"/>
  <c r="Z236" i="1"/>
  <c r="AA236" i="1"/>
  <c r="AB236" i="1"/>
  <c r="AC236" i="1"/>
  <c r="Y237" i="1"/>
  <c r="Z237" i="1"/>
  <c r="AA237" i="1"/>
  <c r="AB237" i="1"/>
  <c r="AC237" i="1"/>
  <c r="Y238" i="1"/>
  <c r="Z238" i="1"/>
  <c r="AA238" i="1"/>
  <c r="AB238" i="1"/>
  <c r="AC238" i="1"/>
  <c r="Y239" i="1"/>
  <c r="Z239" i="1"/>
  <c r="AA239" i="1"/>
  <c r="AB239" i="1"/>
  <c r="AC239" i="1"/>
  <c r="Y240" i="1"/>
  <c r="Z240" i="1"/>
  <c r="AA240" i="1"/>
  <c r="AB240" i="1"/>
  <c r="AC240" i="1"/>
  <c r="Y241" i="1"/>
  <c r="Z241" i="1"/>
  <c r="AA241" i="1"/>
  <c r="AB241" i="1"/>
  <c r="AC241" i="1"/>
  <c r="Y242" i="1"/>
  <c r="Z242" i="1"/>
  <c r="AA242" i="1"/>
  <c r="AB242" i="1"/>
  <c r="AC242" i="1"/>
  <c r="Y243" i="1"/>
  <c r="Z243" i="1"/>
  <c r="AA243" i="1"/>
  <c r="AB243" i="1"/>
  <c r="AC243" i="1"/>
  <c r="Y244" i="1"/>
  <c r="Z244" i="1"/>
  <c r="AA244" i="1"/>
  <c r="AB244" i="1"/>
  <c r="AC244" i="1"/>
  <c r="Y245" i="1"/>
  <c r="Z245" i="1"/>
  <c r="AA245" i="1"/>
  <c r="AB245" i="1"/>
  <c r="AC245" i="1"/>
  <c r="Y246" i="1"/>
  <c r="Z246" i="1"/>
  <c r="AA246" i="1"/>
  <c r="AB246" i="1"/>
  <c r="AC246" i="1"/>
  <c r="Y247" i="1"/>
  <c r="Z247" i="1"/>
  <c r="AA247" i="1"/>
  <c r="AB247" i="1"/>
  <c r="AC247" i="1"/>
  <c r="Y248" i="1"/>
  <c r="Z248" i="1"/>
  <c r="AA248" i="1"/>
  <c r="AB248" i="1"/>
  <c r="AC248" i="1"/>
  <c r="Y249" i="1"/>
  <c r="Z249" i="1"/>
  <c r="AA249" i="1"/>
  <c r="AB249" i="1"/>
  <c r="AC249" i="1"/>
  <c r="Y250" i="1"/>
  <c r="Z250" i="1"/>
  <c r="AA250" i="1"/>
  <c r="AB250" i="1"/>
  <c r="AC250" i="1"/>
  <c r="Y251" i="1"/>
  <c r="Z251" i="1"/>
  <c r="AA251" i="1"/>
  <c r="AB251" i="1"/>
  <c r="AC251" i="1"/>
  <c r="Y252" i="1"/>
  <c r="Z252" i="1"/>
  <c r="AA252" i="1"/>
  <c r="AB252" i="1"/>
  <c r="AC252" i="1"/>
  <c r="Y253" i="1"/>
  <c r="Z253" i="1"/>
  <c r="AA253" i="1"/>
  <c r="AB253" i="1"/>
  <c r="AC253" i="1"/>
  <c r="Y254" i="1"/>
  <c r="Z254" i="1"/>
  <c r="AA254" i="1"/>
  <c r="AB254" i="1"/>
  <c r="AC254" i="1"/>
  <c r="Y255" i="1"/>
  <c r="Z255" i="1"/>
  <c r="AA255" i="1"/>
  <c r="AB255" i="1"/>
  <c r="AC255" i="1"/>
  <c r="Y256" i="1"/>
  <c r="Z256" i="1"/>
  <c r="AA256" i="1"/>
  <c r="AB256" i="1"/>
  <c r="AC256" i="1"/>
  <c r="Y257" i="1"/>
  <c r="Z257" i="1"/>
  <c r="AA257" i="1"/>
  <c r="AB257" i="1"/>
  <c r="AC257" i="1"/>
  <c r="Y258" i="1"/>
  <c r="Z258" i="1"/>
  <c r="AA258" i="1"/>
  <c r="AB258" i="1"/>
  <c r="AC258" i="1"/>
  <c r="Y259" i="1"/>
  <c r="Z259" i="1"/>
  <c r="AA259" i="1"/>
  <c r="AB259" i="1"/>
  <c r="AC259" i="1"/>
  <c r="Y260" i="1"/>
  <c r="Z260" i="1"/>
  <c r="AA260" i="1"/>
  <c r="AB260" i="1"/>
  <c r="AC260" i="1"/>
  <c r="Y261" i="1"/>
  <c r="Z261" i="1"/>
  <c r="AA261" i="1"/>
  <c r="AB261" i="1"/>
  <c r="AC261" i="1"/>
  <c r="Y262" i="1"/>
  <c r="Z262" i="1"/>
  <c r="AA262" i="1"/>
  <c r="AB262" i="1"/>
  <c r="AC262" i="1"/>
  <c r="Y263" i="1"/>
  <c r="Z263" i="1"/>
  <c r="AA263" i="1"/>
  <c r="AB263" i="1"/>
  <c r="AC263" i="1"/>
  <c r="Y264" i="1"/>
  <c r="Z264" i="1"/>
  <c r="AA264" i="1"/>
  <c r="AB264" i="1"/>
  <c r="AC264" i="1"/>
  <c r="Y265" i="1"/>
  <c r="Z265" i="1"/>
  <c r="AA265" i="1"/>
  <c r="AB265" i="1"/>
  <c r="AC265" i="1"/>
  <c r="Y266" i="1"/>
  <c r="Z266" i="1"/>
  <c r="AA266" i="1"/>
  <c r="AB266" i="1"/>
  <c r="AC266" i="1"/>
  <c r="Y267" i="1"/>
  <c r="Z267" i="1"/>
  <c r="AA267" i="1"/>
  <c r="AB267" i="1"/>
  <c r="AC267" i="1"/>
  <c r="Y268" i="1"/>
  <c r="Z268" i="1"/>
  <c r="AA268" i="1"/>
  <c r="AB268" i="1"/>
  <c r="AC268" i="1"/>
  <c r="Y269" i="1"/>
  <c r="Z269" i="1"/>
  <c r="AA269" i="1"/>
  <c r="AB269" i="1"/>
  <c r="AC269" i="1"/>
  <c r="Y270" i="1"/>
  <c r="Z270" i="1"/>
  <c r="AA270" i="1"/>
  <c r="AB270" i="1"/>
  <c r="AC270" i="1"/>
  <c r="Y271" i="1"/>
  <c r="Z271" i="1"/>
  <c r="AA271" i="1"/>
  <c r="AB271" i="1"/>
  <c r="AC271" i="1"/>
  <c r="Y272" i="1"/>
  <c r="Z272" i="1"/>
  <c r="AA272" i="1"/>
  <c r="AB272" i="1"/>
  <c r="AC272" i="1"/>
  <c r="Y273" i="1"/>
  <c r="Z273" i="1"/>
  <c r="AA273" i="1"/>
  <c r="AB273" i="1"/>
  <c r="AC273" i="1"/>
  <c r="Y274" i="1"/>
  <c r="Z274" i="1"/>
  <c r="AA274" i="1"/>
  <c r="AB274" i="1"/>
  <c r="AC274" i="1"/>
  <c r="Y275" i="1"/>
  <c r="Z275" i="1"/>
  <c r="AA275" i="1"/>
  <c r="AB275" i="1"/>
  <c r="AC275" i="1"/>
  <c r="Y276" i="1"/>
  <c r="Z276" i="1"/>
  <c r="AA276" i="1"/>
  <c r="AB276" i="1"/>
  <c r="AC276" i="1"/>
  <c r="Y277" i="1"/>
  <c r="Z277" i="1"/>
  <c r="AA277" i="1"/>
  <c r="AB277" i="1"/>
  <c r="AC277" i="1"/>
  <c r="Y278" i="1"/>
  <c r="Z278" i="1"/>
  <c r="AA278" i="1"/>
  <c r="AB278" i="1"/>
  <c r="AC278" i="1"/>
  <c r="Y279" i="1"/>
  <c r="Z279" i="1"/>
  <c r="AA279" i="1"/>
  <c r="AB279" i="1"/>
  <c r="AC279" i="1"/>
  <c r="Y280" i="1"/>
  <c r="Z280" i="1"/>
  <c r="AA280" i="1"/>
  <c r="AB280" i="1"/>
  <c r="AC280" i="1"/>
  <c r="Y281" i="1"/>
  <c r="Z281" i="1"/>
  <c r="AA281" i="1"/>
  <c r="AB281" i="1"/>
  <c r="AC281" i="1"/>
  <c r="Y282" i="1"/>
  <c r="Z282" i="1"/>
  <c r="AA282" i="1"/>
  <c r="AB282" i="1"/>
  <c r="AC282" i="1"/>
  <c r="Y283" i="1"/>
  <c r="Z283" i="1"/>
  <c r="AA283" i="1"/>
  <c r="AB283" i="1"/>
  <c r="AC283" i="1"/>
  <c r="Y284" i="1"/>
  <c r="Z284" i="1"/>
  <c r="AA284" i="1"/>
  <c r="AB284" i="1"/>
  <c r="AC284" i="1"/>
  <c r="Y285" i="1"/>
  <c r="Z285" i="1"/>
  <c r="AA285" i="1"/>
  <c r="AB285" i="1"/>
  <c r="AC285" i="1"/>
  <c r="Y286" i="1"/>
  <c r="Z286" i="1"/>
  <c r="AA286" i="1"/>
  <c r="AB286" i="1"/>
  <c r="AC286" i="1"/>
  <c r="Y287" i="1"/>
  <c r="Z287" i="1"/>
  <c r="AA287" i="1"/>
  <c r="AB287" i="1"/>
  <c r="AC287" i="1"/>
  <c r="Y288" i="1"/>
  <c r="Z288" i="1"/>
  <c r="AA288" i="1"/>
  <c r="AB288" i="1"/>
  <c r="AC288" i="1"/>
  <c r="Y289" i="1"/>
  <c r="Z289" i="1"/>
  <c r="AA289" i="1"/>
  <c r="AB289" i="1"/>
  <c r="AC289" i="1"/>
  <c r="Y290" i="1"/>
  <c r="Z290" i="1"/>
  <c r="AA290" i="1"/>
  <c r="AB290" i="1"/>
  <c r="AC290" i="1"/>
  <c r="Y291" i="1"/>
  <c r="Z291" i="1"/>
  <c r="AA291" i="1"/>
  <c r="AB291" i="1"/>
  <c r="AC291" i="1"/>
  <c r="Y292" i="1"/>
  <c r="Z292" i="1"/>
  <c r="AA292" i="1"/>
  <c r="AB292" i="1"/>
  <c r="AC292" i="1"/>
  <c r="Y293" i="1"/>
  <c r="Z293" i="1"/>
  <c r="AA293" i="1"/>
  <c r="AB293" i="1"/>
  <c r="AC293" i="1"/>
  <c r="Y294" i="1"/>
  <c r="Z294" i="1"/>
  <c r="AA294" i="1"/>
  <c r="AB294" i="1"/>
  <c r="AC294" i="1"/>
  <c r="Y295" i="1"/>
  <c r="Z295" i="1"/>
  <c r="AA295" i="1"/>
  <c r="AB295" i="1"/>
  <c r="AC295" i="1"/>
  <c r="Y296" i="1"/>
  <c r="Z296" i="1"/>
  <c r="AA296" i="1"/>
  <c r="AB296" i="1"/>
  <c r="AC296" i="1"/>
  <c r="Y297" i="1"/>
  <c r="Z297" i="1"/>
  <c r="AA297" i="1"/>
  <c r="AB297" i="1"/>
  <c r="AC297" i="1"/>
  <c r="Y298" i="1"/>
  <c r="Z298" i="1"/>
  <c r="AA298" i="1"/>
  <c r="AB298" i="1"/>
  <c r="AC298" i="1"/>
  <c r="Y299" i="1"/>
  <c r="Z299" i="1"/>
  <c r="AA299" i="1"/>
  <c r="AB299" i="1"/>
  <c r="AC299" i="1"/>
  <c r="Y300" i="1"/>
  <c r="Z300" i="1"/>
  <c r="AA300" i="1"/>
  <c r="AB300" i="1"/>
  <c r="AC300" i="1"/>
  <c r="Y301" i="1"/>
  <c r="Z301" i="1"/>
  <c r="AA301" i="1"/>
  <c r="AB301" i="1"/>
  <c r="AC301" i="1"/>
  <c r="Y302" i="1"/>
  <c r="Z302" i="1"/>
  <c r="AA302" i="1"/>
  <c r="AB302" i="1"/>
  <c r="AC302" i="1"/>
  <c r="Y303" i="1"/>
  <c r="Z303" i="1"/>
  <c r="AA303" i="1"/>
  <c r="AB303" i="1"/>
  <c r="AC303" i="1"/>
  <c r="Y304" i="1"/>
  <c r="Z304" i="1"/>
  <c r="AA304" i="1"/>
  <c r="AB304" i="1"/>
  <c r="AC304" i="1"/>
  <c r="Y305" i="1"/>
  <c r="Z305" i="1"/>
  <c r="AA305" i="1"/>
  <c r="AB305" i="1"/>
  <c r="AC305" i="1"/>
  <c r="Y306" i="1"/>
  <c r="Z306" i="1"/>
  <c r="AA306" i="1"/>
  <c r="AB306" i="1"/>
  <c r="AC306" i="1"/>
  <c r="Y307" i="1"/>
  <c r="Z307" i="1"/>
  <c r="AA307" i="1"/>
  <c r="AB307" i="1"/>
  <c r="AC307" i="1"/>
  <c r="Y308" i="1"/>
  <c r="Z308" i="1"/>
  <c r="AA308" i="1"/>
  <c r="AB308" i="1"/>
  <c r="AC308" i="1"/>
  <c r="Y309" i="1"/>
  <c r="Z309" i="1"/>
  <c r="AA309" i="1"/>
  <c r="AB309" i="1"/>
  <c r="AC309" i="1"/>
  <c r="Y310" i="1"/>
  <c r="Z310" i="1"/>
  <c r="AA310" i="1"/>
  <c r="AB310" i="1"/>
  <c r="AC310" i="1"/>
  <c r="Y311" i="1"/>
  <c r="Z311" i="1"/>
  <c r="AA311" i="1"/>
  <c r="AB311" i="1"/>
  <c r="AC311" i="1"/>
  <c r="Y312" i="1"/>
  <c r="Z312" i="1"/>
  <c r="AA312" i="1"/>
  <c r="AB312" i="1"/>
  <c r="AC312" i="1"/>
  <c r="Y313" i="1"/>
  <c r="Z313" i="1"/>
  <c r="AA313" i="1"/>
  <c r="AB313" i="1"/>
  <c r="AC313" i="1"/>
  <c r="Y314" i="1"/>
  <c r="Z314" i="1"/>
  <c r="AA314" i="1"/>
  <c r="AB314" i="1"/>
  <c r="AC314" i="1"/>
  <c r="Y315" i="1"/>
  <c r="Z315" i="1"/>
  <c r="AA315" i="1"/>
  <c r="AB315" i="1"/>
  <c r="AC315" i="1"/>
  <c r="Y316" i="1"/>
  <c r="Z316" i="1"/>
  <c r="AA316" i="1"/>
  <c r="AB316" i="1"/>
  <c r="AC316" i="1"/>
  <c r="Y317" i="1"/>
  <c r="Z317" i="1"/>
  <c r="AA317" i="1"/>
  <c r="AB317" i="1"/>
  <c r="AC317" i="1"/>
  <c r="Y318" i="1"/>
  <c r="Z318" i="1"/>
  <c r="AA318" i="1"/>
  <c r="AB318" i="1"/>
  <c r="AC318" i="1"/>
  <c r="Y319" i="1"/>
  <c r="Z319" i="1"/>
  <c r="AA319" i="1"/>
  <c r="AB319" i="1"/>
  <c r="AC319" i="1"/>
  <c r="Y320" i="1"/>
  <c r="Z320" i="1"/>
  <c r="AA320" i="1"/>
  <c r="AB320" i="1"/>
  <c r="AC320" i="1"/>
  <c r="Y321" i="1"/>
  <c r="Z321" i="1"/>
  <c r="AA321" i="1"/>
  <c r="AB321" i="1"/>
  <c r="AC321" i="1"/>
  <c r="Y322" i="1"/>
  <c r="Z322" i="1"/>
  <c r="AA322" i="1"/>
  <c r="AB322" i="1"/>
  <c r="AC322" i="1"/>
  <c r="Y323" i="1"/>
  <c r="Z323" i="1"/>
  <c r="AA323" i="1"/>
  <c r="AB323" i="1"/>
  <c r="AC323" i="1"/>
  <c r="Y324" i="1"/>
  <c r="Z324" i="1"/>
  <c r="AA324" i="1"/>
  <c r="AB324" i="1"/>
  <c r="AC324" i="1"/>
  <c r="Y325" i="1"/>
  <c r="Z325" i="1"/>
  <c r="AA325" i="1"/>
  <c r="AB325" i="1"/>
  <c r="AC325" i="1"/>
  <c r="Y326" i="1"/>
  <c r="Z326" i="1"/>
  <c r="AA326" i="1"/>
  <c r="AB326" i="1"/>
  <c r="AC326" i="1"/>
  <c r="Y327" i="1"/>
  <c r="Z327" i="1"/>
  <c r="AA327" i="1"/>
  <c r="AB327" i="1"/>
  <c r="AC327" i="1"/>
  <c r="Y328" i="1"/>
  <c r="Z328" i="1"/>
  <c r="AA328" i="1"/>
  <c r="AB328" i="1"/>
  <c r="AC328" i="1"/>
  <c r="Y329" i="1"/>
  <c r="Z329" i="1"/>
  <c r="AA329" i="1"/>
  <c r="AB329" i="1"/>
  <c r="AC329" i="1"/>
  <c r="Y330" i="1"/>
  <c r="Z330" i="1"/>
  <c r="AA330" i="1"/>
  <c r="AB330" i="1"/>
  <c r="AC330" i="1"/>
  <c r="Y331" i="1"/>
  <c r="Z331" i="1"/>
  <c r="AA331" i="1"/>
  <c r="AB331" i="1"/>
  <c r="AC331" i="1"/>
  <c r="Y332" i="1"/>
  <c r="Z332" i="1"/>
  <c r="AA332" i="1"/>
  <c r="AB332" i="1"/>
  <c r="AC332" i="1"/>
  <c r="Y333" i="1"/>
  <c r="Z333" i="1"/>
  <c r="AA333" i="1"/>
  <c r="AB333" i="1"/>
  <c r="AC333" i="1"/>
  <c r="Y334" i="1"/>
  <c r="Z334" i="1"/>
  <c r="AA334" i="1"/>
  <c r="AB334" i="1"/>
  <c r="AC334" i="1"/>
  <c r="Y335" i="1"/>
  <c r="Z335" i="1"/>
  <c r="AA335" i="1"/>
  <c r="AB335" i="1"/>
  <c r="AC335" i="1"/>
  <c r="Y336" i="1"/>
  <c r="Z336" i="1"/>
  <c r="AA336" i="1"/>
  <c r="AB336" i="1"/>
  <c r="AC336" i="1"/>
  <c r="Y337" i="1"/>
  <c r="Z337" i="1"/>
  <c r="AA337" i="1"/>
  <c r="AB337" i="1"/>
  <c r="AC337" i="1"/>
  <c r="Y338" i="1"/>
  <c r="Z338" i="1"/>
  <c r="AA338" i="1"/>
  <c r="AB338" i="1"/>
  <c r="AC338" i="1"/>
  <c r="Y339" i="1"/>
  <c r="Z339" i="1"/>
  <c r="AA339" i="1"/>
  <c r="AB339" i="1"/>
  <c r="AC339" i="1"/>
  <c r="Y340" i="1"/>
  <c r="Z340" i="1"/>
  <c r="AA340" i="1"/>
  <c r="AB340" i="1"/>
  <c r="AC340" i="1"/>
  <c r="Y341" i="1"/>
  <c r="Z341" i="1"/>
  <c r="AA341" i="1"/>
  <c r="AB341" i="1"/>
  <c r="AC341" i="1"/>
  <c r="Y342" i="1"/>
  <c r="Z342" i="1"/>
  <c r="AA342" i="1"/>
  <c r="AB342" i="1"/>
  <c r="AC342" i="1"/>
  <c r="Y343" i="1"/>
  <c r="Z343" i="1"/>
  <c r="AA343" i="1"/>
  <c r="AB343" i="1"/>
  <c r="AC343" i="1"/>
  <c r="Y344" i="1"/>
  <c r="Z344" i="1"/>
  <c r="AA344" i="1"/>
  <c r="AB344" i="1"/>
  <c r="AC344" i="1"/>
  <c r="Y345" i="1"/>
  <c r="Z345" i="1"/>
  <c r="AA345" i="1"/>
  <c r="AB345" i="1"/>
  <c r="AC345" i="1"/>
  <c r="Y346" i="1"/>
  <c r="Z346" i="1"/>
  <c r="AA346" i="1"/>
  <c r="AB346" i="1"/>
  <c r="AC346" i="1"/>
  <c r="Y347" i="1"/>
  <c r="Z347" i="1"/>
  <c r="AA347" i="1"/>
  <c r="AB347" i="1"/>
  <c r="AC347" i="1"/>
  <c r="Y348" i="1"/>
  <c r="Z348" i="1"/>
  <c r="AA348" i="1"/>
  <c r="AB348" i="1"/>
  <c r="AC348" i="1"/>
  <c r="Y349" i="1"/>
  <c r="Z349" i="1"/>
  <c r="AA349" i="1"/>
  <c r="AB349" i="1"/>
  <c r="AC349" i="1"/>
  <c r="Y350" i="1"/>
  <c r="Z350" i="1"/>
  <c r="AA350" i="1"/>
  <c r="AB350" i="1"/>
  <c r="AC350" i="1"/>
  <c r="Y351" i="1"/>
  <c r="Z351" i="1"/>
  <c r="AA351" i="1"/>
  <c r="AB351" i="1"/>
  <c r="AC351" i="1"/>
  <c r="Y352" i="1"/>
  <c r="Z352" i="1"/>
  <c r="AA352" i="1"/>
  <c r="AB352" i="1"/>
  <c r="AC352" i="1"/>
  <c r="Y353" i="1"/>
  <c r="Z353" i="1"/>
  <c r="AA353" i="1"/>
  <c r="AB353" i="1"/>
  <c r="AC353" i="1"/>
  <c r="Y354" i="1"/>
  <c r="Z354" i="1"/>
  <c r="AA354" i="1"/>
  <c r="AB354" i="1"/>
  <c r="AC354" i="1"/>
  <c r="Y355" i="1"/>
  <c r="Z355" i="1"/>
  <c r="AA355" i="1"/>
  <c r="AB355" i="1"/>
  <c r="AC355" i="1"/>
  <c r="Y356" i="1"/>
  <c r="Z356" i="1"/>
  <c r="AA356" i="1"/>
  <c r="AB356" i="1"/>
  <c r="AC356" i="1"/>
  <c r="Y357" i="1"/>
  <c r="Z357" i="1"/>
  <c r="AA357" i="1"/>
  <c r="AB357" i="1"/>
  <c r="AC357" i="1"/>
  <c r="Y358" i="1"/>
  <c r="Z358" i="1"/>
  <c r="AA358" i="1"/>
  <c r="AB358" i="1"/>
  <c r="AC358" i="1"/>
  <c r="Y359" i="1"/>
  <c r="Z359" i="1"/>
  <c r="AA359" i="1"/>
  <c r="AB359" i="1"/>
  <c r="AC359" i="1"/>
  <c r="Y360" i="1"/>
  <c r="Z360" i="1"/>
  <c r="AA360" i="1"/>
  <c r="AB360" i="1"/>
  <c r="AC360" i="1"/>
  <c r="Y361" i="1"/>
  <c r="Z361" i="1"/>
  <c r="AA361" i="1"/>
  <c r="AB361" i="1"/>
  <c r="AC361" i="1"/>
  <c r="Y362" i="1"/>
  <c r="Z362" i="1"/>
  <c r="AA362" i="1"/>
  <c r="AB362" i="1"/>
  <c r="AC362" i="1"/>
  <c r="Y363" i="1"/>
  <c r="Z363" i="1"/>
  <c r="AA363" i="1"/>
  <c r="AB363" i="1"/>
  <c r="AC363" i="1"/>
  <c r="Y364" i="1"/>
  <c r="Z364" i="1"/>
  <c r="AA364" i="1"/>
  <c r="AB364" i="1"/>
  <c r="AC364" i="1"/>
  <c r="Y365" i="1"/>
  <c r="Z365" i="1"/>
  <c r="AA365" i="1"/>
  <c r="AB365" i="1"/>
  <c r="AC365" i="1"/>
  <c r="Y366" i="1"/>
  <c r="Z366" i="1"/>
  <c r="AA366" i="1"/>
  <c r="AB366" i="1"/>
  <c r="AC366" i="1"/>
  <c r="Y367" i="1"/>
  <c r="Z367" i="1"/>
  <c r="AA367" i="1"/>
  <c r="AB367" i="1"/>
  <c r="AC367" i="1"/>
  <c r="Y368" i="1"/>
  <c r="Z368" i="1"/>
  <c r="AA368" i="1"/>
  <c r="AB368" i="1"/>
  <c r="AC368" i="1"/>
  <c r="Y369" i="1"/>
  <c r="Z369" i="1"/>
  <c r="AA369" i="1"/>
  <c r="AB369" i="1"/>
  <c r="AC369" i="1"/>
  <c r="Y370" i="1"/>
  <c r="Z370" i="1"/>
  <c r="AA370" i="1"/>
  <c r="AB370" i="1"/>
  <c r="AC370" i="1"/>
  <c r="Y371" i="1"/>
  <c r="Z371" i="1"/>
  <c r="AA371" i="1"/>
  <c r="AB371" i="1"/>
  <c r="AC371" i="1"/>
  <c r="Y372" i="1"/>
  <c r="Z372" i="1"/>
  <c r="AA372" i="1"/>
  <c r="AB372" i="1"/>
  <c r="AC372" i="1"/>
  <c r="Y373" i="1"/>
  <c r="Z373" i="1"/>
  <c r="AA373" i="1"/>
  <c r="AB373" i="1"/>
  <c r="AC373" i="1"/>
  <c r="Y374" i="1"/>
  <c r="Z374" i="1"/>
  <c r="AA374" i="1"/>
  <c r="AB374" i="1"/>
  <c r="AC374" i="1"/>
  <c r="Y375" i="1"/>
  <c r="Z375" i="1"/>
  <c r="AA375" i="1"/>
  <c r="AB375" i="1"/>
  <c r="AC375" i="1"/>
  <c r="Y376" i="1"/>
  <c r="Z376" i="1"/>
  <c r="AA376" i="1"/>
  <c r="AB376" i="1"/>
  <c r="AC376" i="1"/>
  <c r="Y377" i="1"/>
  <c r="Z377" i="1"/>
  <c r="AA377" i="1"/>
  <c r="AB377" i="1"/>
  <c r="AC377" i="1"/>
  <c r="Y378" i="1"/>
  <c r="Z378" i="1"/>
  <c r="AA378" i="1"/>
  <c r="AB378" i="1"/>
  <c r="AC378" i="1"/>
  <c r="Y379" i="1"/>
  <c r="Z379" i="1"/>
  <c r="AA379" i="1"/>
  <c r="AB379" i="1"/>
  <c r="AC379" i="1"/>
  <c r="Y380" i="1"/>
  <c r="Z380" i="1"/>
  <c r="AA380" i="1"/>
  <c r="AB380" i="1"/>
  <c r="AC380" i="1"/>
  <c r="Y381" i="1"/>
  <c r="Z381" i="1"/>
  <c r="AA381" i="1"/>
  <c r="AB381" i="1"/>
  <c r="AC381" i="1"/>
  <c r="Y382" i="1"/>
  <c r="Z382" i="1"/>
  <c r="AA382" i="1"/>
  <c r="AB382" i="1"/>
  <c r="AC382" i="1"/>
  <c r="Y383" i="1"/>
  <c r="Z383" i="1"/>
  <c r="AA383" i="1"/>
  <c r="AB383" i="1"/>
  <c r="AC383" i="1"/>
  <c r="Y384" i="1"/>
  <c r="Z384" i="1"/>
  <c r="AA384" i="1"/>
  <c r="AB384" i="1"/>
  <c r="AC384" i="1"/>
  <c r="Y385" i="1"/>
  <c r="Z385" i="1"/>
  <c r="AA385" i="1"/>
  <c r="AB385" i="1"/>
  <c r="AC385" i="1"/>
  <c r="Y386" i="1"/>
  <c r="Z386" i="1"/>
  <c r="AA386" i="1"/>
  <c r="AB386" i="1"/>
  <c r="AC386" i="1"/>
  <c r="Y387" i="1"/>
  <c r="Z387" i="1"/>
  <c r="AA387" i="1"/>
  <c r="AB387" i="1"/>
  <c r="AC387" i="1"/>
  <c r="Y388" i="1"/>
  <c r="Z388" i="1"/>
  <c r="AA388" i="1"/>
  <c r="AB388" i="1"/>
  <c r="AC388" i="1"/>
  <c r="Y389" i="1"/>
  <c r="Z389" i="1"/>
  <c r="AA389" i="1"/>
  <c r="AB389" i="1"/>
  <c r="AC389" i="1"/>
  <c r="Y390" i="1"/>
  <c r="Z390" i="1"/>
  <c r="AA390" i="1"/>
  <c r="AB390" i="1"/>
  <c r="AC390" i="1"/>
  <c r="Y391" i="1"/>
  <c r="Z391" i="1"/>
  <c r="AA391" i="1"/>
  <c r="AB391" i="1"/>
  <c r="AC391" i="1"/>
  <c r="Y392" i="1"/>
  <c r="Z392" i="1"/>
  <c r="AA392" i="1"/>
  <c r="AB392" i="1"/>
  <c r="AC392" i="1"/>
  <c r="Y393" i="1"/>
  <c r="Z393" i="1"/>
  <c r="AA393" i="1"/>
  <c r="AB393" i="1"/>
  <c r="AC393" i="1"/>
  <c r="Y394" i="1"/>
  <c r="Z394" i="1"/>
  <c r="AA394" i="1"/>
  <c r="AB394" i="1"/>
  <c r="AC394" i="1"/>
  <c r="Y395" i="1"/>
  <c r="Z395" i="1"/>
  <c r="AA395" i="1"/>
  <c r="AB395" i="1"/>
  <c r="AC395" i="1"/>
  <c r="Y396" i="1"/>
  <c r="Z396" i="1"/>
  <c r="AA396" i="1"/>
  <c r="AB396" i="1"/>
  <c r="AC396" i="1"/>
  <c r="Y397" i="1"/>
  <c r="Z397" i="1"/>
  <c r="AA397" i="1"/>
  <c r="AB397" i="1"/>
  <c r="AC397" i="1"/>
  <c r="Y398" i="1"/>
  <c r="Z398" i="1"/>
  <c r="AA398" i="1"/>
  <c r="AB398" i="1"/>
  <c r="AC398" i="1"/>
  <c r="Y399" i="1"/>
  <c r="Z399" i="1"/>
  <c r="AA399" i="1"/>
  <c r="AB399" i="1"/>
  <c r="AC399" i="1"/>
  <c r="Y400" i="1"/>
  <c r="Z400" i="1"/>
  <c r="AA400" i="1"/>
  <c r="AB400" i="1"/>
  <c r="AC400" i="1"/>
  <c r="Y401" i="1"/>
  <c r="Z401" i="1"/>
  <c r="AA401" i="1"/>
  <c r="AB401" i="1"/>
  <c r="AC401" i="1"/>
  <c r="Y402" i="1"/>
  <c r="Z402" i="1"/>
  <c r="AA402" i="1"/>
  <c r="AB402" i="1"/>
  <c r="AC402" i="1"/>
  <c r="Y403" i="1"/>
  <c r="Z403" i="1"/>
  <c r="AA403" i="1"/>
  <c r="AB403" i="1"/>
  <c r="AC403" i="1"/>
  <c r="Y404" i="1"/>
  <c r="Z404" i="1"/>
  <c r="AA404" i="1"/>
  <c r="AB404" i="1"/>
  <c r="AC404" i="1"/>
  <c r="Y405" i="1"/>
  <c r="Z405" i="1"/>
  <c r="AA405" i="1"/>
  <c r="AB405" i="1"/>
  <c r="AC405" i="1"/>
  <c r="Y406" i="1"/>
  <c r="Z406" i="1"/>
  <c r="AA406" i="1"/>
  <c r="AB406" i="1"/>
  <c r="AC406" i="1"/>
  <c r="Y407" i="1"/>
  <c r="Z407" i="1"/>
  <c r="AA407" i="1"/>
  <c r="AB407" i="1"/>
  <c r="AC407" i="1"/>
  <c r="Y408" i="1"/>
  <c r="Z408" i="1"/>
  <c r="AA408" i="1"/>
  <c r="AB408" i="1"/>
  <c r="AC408" i="1"/>
  <c r="Y409" i="1"/>
  <c r="Z409" i="1"/>
  <c r="AA409" i="1"/>
  <c r="AB409" i="1"/>
  <c r="AC409" i="1"/>
  <c r="Y410" i="1"/>
  <c r="Z410" i="1"/>
  <c r="AA410" i="1"/>
  <c r="AB410" i="1"/>
  <c r="AC410" i="1"/>
  <c r="Y411" i="1"/>
  <c r="Z411" i="1"/>
  <c r="AA411" i="1"/>
  <c r="AB411" i="1"/>
  <c r="AC411" i="1"/>
  <c r="Y412" i="1"/>
  <c r="Z412" i="1"/>
  <c r="AA412" i="1"/>
  <c r="AB412" i="1"/>
  <c r="AC412" i="1"/>
  <c r="Y413" i="1"/>
  <c r="Z413" i="1"/>
  <c r="AA413" i="1"/>
  <c r="AB413" i="1"/>
  <c r="AC413" i="1"/>
  <c r="Y414" i="1"/>
  <c r="Z414" i="1"/>
  <c r="AA414" i="1"/>
  <c r="AB414" i="1"/>
  <c r="AC414" i="1"/>
  <c r="Y415" i="1"/>
  <c r="Z415" i="1"/>
  <c r="AA415" i="1"/>
  <c r="AB415" i="1"/>
  <c r="AC415" i="1"/>
  <c r="Y416" i="1"/>
  <c r="Z416" i="1"/>
  <c r="AA416" i="1"/>
  <c r="AB416" i="1"/>
  <c r="AC416" i="1"/>
  <c r="Y417" i="1"/>
  <c r="Z417" i="1"/>
  <c r="AA417" i="1"/>
  <c r="AB417" i="1"/>
  <c r="AC417" i="1"/>
  <c r="Y418" i="1"/>
  <c r="Z418" i="1"/>
  <c r="AA418" i="1"/>
  <c r="AB418" i="1"/>
  <c r="AC418" i="1"/>
  <c r="Y419" i="1"/>
  <c r="Z419" i="1"/>
  <c r="AA419" i="1"/>
  <c r="AB419" i="1"/>
  <c r="AC419" i="1"/>
  <c r="Y420" i="1"/>
  <c r="Z420" i="1"/>
  <c r="AA420" i="1"/>
  <c r="AB420" i="1"/>
  <c r="AC420" i="1"/>
  <c r="Y421" i="1"/>
  <c r="Z421" i="1"/>
  <c r="AA421" i="1"/>
  <c r="AB421" i="1"/>
  <c r="AC421" i="1"/>
  <c r="Y422" i="1"/>
  <c r="Z422" i="1"/>
  <c r="AA422" i="1"/>
  <c r="AB422" i="1"/>
  <c r="AC422" i="1"/>
  <c r="Y423" i="1"/>
  <c r="Z423" i="1"/>
  <c r="AA423" i="1"/>
  <c r="AB423" i="1"/>
  <c r="AC423" i="1"/>
  <c r="Y424" i="1"/>
  <c r="Z424" i="1"/>
  <c r="AA424" i="1"/>
  <c r="AB424" i="1"/>
  <c r="AC424" i="1"/>
  <c r="Y425" i="1"/>
  <c r="Z425" i="1"/>
  <c r="AA425" i="1"/>
  <c r="AB425" i="1"/>
  <c r="AC425" i="1"/>
  <c r="Y426" i="1"/>
  <c r="Z426" i="1"/>
  <c r="AA426" i="1"/>
  <c r="AB426" i="1"/>
  <c r="AC426" i="1"/>
  <c r="Y427" i="1"/>
  <c r="Z427" i="1"/>
  <c r="AA427" i="1"/>
  <c r="AB427" i="1"/>
  <c r="AC427" i="1"/>
  <c r="Y428" i="1"/>
  <c r="Z428" i="1"/>
  <c r="AA428" i="1"/>
  <c r="AB428" i="1"/>
  <c r="AC428" i="1"/>
  <c r="Y429" i="1"/>
  <c r="Z429" i="1"/>
  <c r="AA429" i="1"/>
  <c r="AB429" i="1"/>
  <c r="AC429" i="1"/>
  <c r="Y430" i="1"/>
  <c r="Z430" i="1"/>
  <c r="AA430" i="1"/>
  <c r="AB430" i="1"/>
  <c r="AC430" i="1"/>
  <c r="Y431" i="1"/>
  <c r="Z431" i="1"/>
  <c r="AA431" i="1"/>
  <c r="AB431" i="1"/>
  <c r="AC431" i="1"/>
  <c r="Y432" i="1"/>
  <c r="Z432" i="1"/>
  <c r="AA432" i="1"/>
  <c r="AB432" i="1"/>
  <c r="AC432" i="1"/>
  <c r="Y433" i="1"/>
  <c r="Z433" i="1"/>
  <c r="AA433" i="1"/>
  <c r="AB433" i="1"/>
  <c r="AC433" i="1"/>
  <c r="Y434" i="1"/>
  <c r="Z434" i="1"/>
  <c r="AA434" i="1"/>
  <c r="AB434" i="1"/>
  <c r="AC434" i="1"/>
  <c r="Y435" i="1"/>
  <c r="Z435" i="1"/>
  <c r="AA435" i="1"/>
  <c r="AB435" i="1"/>
  <c r="AC435" i="1"/>
  <c r="Y436" i="1"/>
  <c r="Z436" i="1"/>
  <c r="AA436" i="1"/>
  <c r="AB436" i="1"/>
  <c r="AC436" i="1"/>
  <c r="Y437" i="1"/>
  <c r="Z437" i="1"/>
  <c r="AA437" i="1"/>
  <c r="AB437" i="1"/>
  <c r="AC437" i="1"/>
  <c r="Y438" i="1"/>
  <c r="Z438" i="1"/>
  <c r="AA438" i="1"/>
  <c r="AB438" i="1"/>
  <c r="AC438" i="1"/>
  <c r="Y439" i="1"/>
  <c r="Z439" i="1"/>
  <c r="AA439" i="1"/>
  <c r="AB439" i="1"/>
  <c r="AC439" i="1"/>
  <c r="Y440" i="1"/>
  <c r="Z440" i="1"/>
  <c r="AA440" i="1"/>
  <c r="AB440" i="1"/>
  <c r="AC440" i="1"/>
  <c r="Y441" i="1"/>
  <c r="Z441" i="1"/>
  <c r="AA441" i="1"/>
  <c r="AB441" i="1"/>
  <c r="AC441" i="1"/>
  <c r="Y442" i="1"/>
  <c r="Z442" i="1"/>
  <c r="AA442" i="1"/>
  <c r="AB442" i="1"/>
  <c r="AC442" i="1"/>
  <c r="Y443" i="1"/>
  <c r="Z443" i="1"/>
  <c r="AA443" i="1"/>
  <c r="AB443" i="1"/>
  <c r="AC443" i="1"/>
  <c r="Y444" i="1"/>
  <c r="Z444" i="1"/>
  <c r="AA444" i="1"/>
  <c r="AB444" i="1"/>
  <c r="AC444" i="1"/>
  <c r="Y445" i="1"/>
  <c r="Z445" i="1"/>
  <c r="AA445" i="1"/>
  <c r="AB445" i="1"/>
  <c r="AC445" i="1"/>
  <c r="Y446" i="1"/>
  <c r="Z446" i="1"/>
  <c r="AA446" i="1"/>
  <c r="AB446" i="1"/>
  <c r="AC446" i="1"/>
  <c r="Y447" i="1"/>
  <c r="Z447" i="1"/>
  <c r="AA447" i="1"/>
  <c r="AB447" i="1"/>
  <c r="AC447" i="1"/>
  <c r="Y448" i="1"/>
  <c r="Z448" i="1"/>
  <c r="AA448" i="1"/>
  <c r="AB448" i="1"/>
  <c r="AC448" i="1"/>
  <c r="Y449" i="1"/>
  <c r="Z449" i="1"/>
  <c r="AA449" i="1"/>
  <c r="AB449" i="1"/>
  <c r="AC449" i="1"/>
  <c r="Y450" i="1"/>
  <c r="Z450" i="1"/>
  <c r="AA450" i="1"/>
  <c r="AB450" i="1"/>
  <c r="AC450" i="1"/>
  <c r="Y451" i="1"/>
  <c r="Z451" i="1"/>
  <c r="AA451" i="1"/>
  <c r="AB451" i="1"/>
  <c r="AC451" i="1"/>
  <c r="Y452" i="1"/>
  <c r="Z452" i="1"/>
  <c r="AA452" i="1"/>
  <c r="AB452" i="1"/>
  <c r="AC452" i="1"/>
  <c r="Y453" i="1"/>
  <c r="Z453" i="1"/>
  <c r="AA453" i="1"/>
  <c r="AB453" i="1"/>
  <c r="AC453" i="1"/>
  <c r="Y454" i="1"/>
  <c r="Z454" i="1"/>
  <c r="AA454" i="1"/>
  <c r="AB454" i="1"/>
  <c r="AC454" i="1"/>
  <c r="Y455" i="1"/>
  <c r="Z455" i="1"/>
  <c r="AA455" i="1"/>
  <c r="AB455" i="1"/>
  <c r="AC455" i="1"/>
  <c r="Y456" i="1"/>
  <c r="Z456" i="1"/>
  <c r="AA456" i="1"/>
  <c r="AB456" i="1"/>
  <c r="AC456" i="1"/>
  <c r="Y457" i="1"/>
  <c r="Z457" i="1"/>
  <c r="AA457" i="1"/>
  <c r="AB457" i="1"/>
  <c r="AC457" i="1"/>
  <c r="Y458" i="1"/>
  <c r="Z458" i="1"/>
  <c r="AA458" i="1"/>
  <c r="AB458" i="1"/>
  <c r="AC458" i="1"/>
  <c r="Y459" i="1"/>
  <c r="Z459" i="1"/>
  <c r="AA459" i="1"/>
  <c r="AB459" i="1"/>
  <c r="AC459" i="1"/>
  <c r="Y460" i="1"/>
  <c r="Z460" i="1"/>
  <c r="AA460" i="1"/>
  <c r="AB460" i="1"/>
  <c r="AC460" i="1"/>
  <c r="Y461" i="1"/>
  <c r="Z461" i="1"/>
  <c r="AA461" i="1"/>
  <c r="AB461" i="1"/>
  <c r="AC461" i="1"/>
  <c r="Y462" i="1"/>
  <c r="Z462" i="1"/>
  <c r="AA462" i="1"/>
  <c r="AB462" i="1"/>
  <c r="AC462" i="1"/>
  <c r="Y463" i="1"/>
  <c r="Z463" i="1"/>
  <c r="AA463" i="1"/>
  <c r="AB463" i="1"/>
  <c r="AC463" i="1"/>
  <c r="Y464" i="1"/>
  <c r="Z464" i="1"/>
  <c r="AA464" i="1"/>
  <c r="AB464" i="1"/>
  <c r="AC464" i="1"/>
  <c r="Y465" i="1"/>
  <c r="Z465" i="1"/>
  <c r="AA465" i="1"/>
  <c r="AB465" i="1"/>
  <c r="AC465" i="1"/>
  <c r="Y466" i="1"/>
  <c r="Z466" i="1"/>
  <c r="AA466" i="1"/>
  <c r="AB466" i="1"/>
  <c r="AC466" i="1"/>
  <c r="Y467" i="1"/>
  <c r="Z467" i="1"/>
  <c r="AA467" i="1"/>
  <c r="AB467" i="1"/>
  <c r="AC467" i="1"/>
  <c r="Y468" i="1"/>
  <c r="Z468" i="1"/>
  <c r="AA468" i="1"/>
  <c r="AB468" i="1"/>
  <c r="AC468" i="1"/>
  <c r="Y469" i="1"/>
  <c r="Z469" i="1"/>
  <c r="AA469" i="1"/>
  <c r="AB469" i="1"/>
  <c r="AC469" i="1"/>
  <c r="Y470" i="1"/>
  <c r="Z470" i="1"/>
  <c r="AA470" i="1"/>
  <c r="AB470" i="1"/>
  <c r="AC470" i="1"/>
  <c r="Y471" i="1"/>
  <c r="Z471" i="1"/>
  <c r="AA471" i="1"/>
  <c r="AB471" i="1"/>
  <c r="AC471" i="1"/>
  <c r="Y472" i="1"/>
  <c r="Z472" i="1"/>
  <c r="AA472" i="1"/>
  <c r="AB472" i="1"/>
  <c r="AC472" i="1"/>
  <c r="Y473" i="1"/>
  <c r="Z473" i="1"/>
  <c r="AA473" i="1"/>
  <c r="AB473" i="1"/>
  <c r="AC473" i="1"/>
  <c r="Y474" i="1"/>
  <c r="Z474" i="1"/>
  <c r="AA474" i="1"/>
  <c r="AB474" i="1"/>
  <c r="AC474" i="1"/>
  <c r="Y475" i="1"/>
  <c r="Z475" i="1"/>
  <c r="AA475" i="1"/>
  <c r="AB475" i="1"/>
  <c r="AC475" i="1"/>
  <c r="Y476" i="1"/>
  <c r="Z476" i="1"/>
  <c r="AA476" i="1"/>
  <c r="AB476" i="1"/>
  <c r="AC476" i="1"/>
  <c r="Y477" i="1"/>
  <c r="Z477" i="1"/>
  <c r="AA477" i="1"/>
  <c r="AB477" i="1"/>
  <c r="AC477" i="1"/>
  <c r="Y478" i="1"/>
  <c r="Z478" i="1"/>
  <c r="AA478" i="1"/>
  <c r="AB478" i="1"/>
  <c r="AC478" i="1"/>
  <c r="Y479" i="1"/>
  <c r="Z479" i="1"/>
  <c r="AA479" i="1"/>
  <c r="AB479" i="1"/>
  <c r="AC479" i="1"/>
  <c r="Y480" i="1"/>
  <c r="Z480" i="1"/>
  <c r="AA480" i="1"/>
  <c r="AB480" i="1"/>
  <c r="AC480" i="1"/>
  <c r="Y481" i="1"/>
  <c r="Z481" i="1"/>
  <c r="AA481" i="1"/>
  <c r="AB481" i="1"/>
  <c r="AC481" i="1"/>
  <c r="Y482" i="1"/>
  <c r="Z482" i="1"/>
  <c r="AA482" i="1"/>
  <c r="AB482" i="1"/>
  <c r="AC482" i="1"/>
  <c r="Y483" i="1"/>
  <c r="Z483" i="1"/>
  <c r="AA483" i="1"/>
  <c r="AB483" i="1"/>
  <c r="AC483" i="1"/>
  <c r="Y484" i="1"/>
  <c r="Z484" i="1"/>
  <c r="AA484" i="1"/>
  <c r="AB484" i="1"/>
  <c r="AC484" i="1"/>
  <c r="Y485" i="1"/>
  <c r="Z485" i="1"/>
  <c r="AA485" i="1"/>
  <c r="AB485" i="1"/>
  <c r="AC485" i="1"/>
  <c r="Y486" i="1"/>
  <c r="Z486" i="1"/>
  <c r="AA486" i="1"/>
  <c r="AB486" i="1"/>
  <c r="AC486" i="1"/>
  <c r="Y487" i="1"/>
  <c r="Z487" i="1"/>
  <c r="AA487" i="1"/>
  <c r="AB487" i="1"/>
  <c r="AC487" i="1"/>
  <c r="Y488" i="1"/>
  <c r="Z488" i="1"/>
  <c r="AA488" i="1"/>
  <c r="AB488" i="1"/>
  <c r="AC488" i="1"/>
  <c r="Y489" i="1"/>
  <c r="Z489" i="1"/>
  <c r="AA489" i="1"/>
  <c r="AB489" i="1"/>
  <c r="AC489" i="1"/>
  <c r="Y490" i="1"/>
  <c r="Z490" i="1"/>
  <c r="AA490" i="1"/>
  <c r="AB490" i="1"/>
  <c r="AC490" i="1"/>
  <c r="Y491" i="1"/>
  <c r="Z491" i="1"/>
  <c r="AA491" i="1"/>
  <c r="AB491" i="1"/>
  <c r="AC491" i="1"/>
  <c r="Y492" i="1"/>
  <c r="Z492" i="1"/>
  <c r="AA492" i="1"/>
  <c r="AB492" i="1"/>
  <c r="AC492" i="1"/>
  <c r="Y493" i="1"/>
  <c r="Z493" i="1"/>
  <c r="AA493" i="1"/>
  <c r="AB493" i="1"/>
  <c r="AC493" i="1"/>
  <c r="Y494" i="1"/>
  <c r="Z494" i="1"/>
  <c r="AA494" i="1"/>
  <c r="AB494" i="1"/>
  <c r="AC494" i="1"/>
  <c r="Y495" i="1"/>
  <c r="Z495" i="1"/>
  <c r="AA495" i="1"/>
  <c r="AB495" i="1"/>
  <c r="AC495" i="1"/>
  <c r="Y496" i="1"/>
  <c r="Z496" i="1"/>
  <c r="AA496" i="1"/>
  <c r="AB496" i="1"/>
  <c r="AC496" i="1"/>
  <c r="Y497" i="1"/>
  <c r="Z497" i="1"/>
  <c r="AA497" i="1"/>
  <c r="AB497" i="1"/>
  <c r="AC497" i="1"/>
  <c r="Y498" i="1"/>
  <c r="Z498" i="1"/>
  <c r="AA498" i="1"/>
  <c r="AB498" i="1"/>
  <c r="AC498" i="1"/>
  <c r="Y499" i="1"/>
  <c r="Z499" i="1"/>
  <c r="AA499" i="1"/>
  <c r="AB499" i="1"/>
  <c r="AC499" i="1"/>
  <c r="Y500" i="1"/>
  <c r="AA500" i="1"/>
  <c r="AB500" i="1"/>
  <c r="AC500" i="1"/>
  <c r="Z2" i="1"/>
  <c r="AA2" i="1"/>
  <c r="AB2" i="1"/>
  <c r="AC2" i="1"/>
  <c r="Y2" i="1"/>
  <c r="T499" i="1"/>
  <c r="U499" i="1"/>
  <c r="V499" i="1"/>
  <c r="W499" i="1"/>
  <c r="X499" i="1"/>
  <c r="T500" i="1"/>
  <c r="U500" i="1"/>
  <c r="V500" i="1"/>
  <c r="W500" i="1"/>
  <c r="X500" i="1"/>
  <c r="T22" i="1"/>
  <c r="U22" i="1"/>
  <c r="V22" i="1"/>
  <c r="W22" i="1"/>
  <c r="X22" i="1"/>
  <c r="T23" i="1"/>
  <c r="U23" i="1"/>
  <c r="V23" i="1"/>
  <c r="W23" i="1"/>
  <c r="X23" i="1"/>
  <c r="T24" i="1"/>
  <c r="U24" i="1"/>
  <c r="V24" i="1"/>
  <c r="W24" i="1"/>
  <c r="X24" i="1"/>
  <c r="T25" i="1"/>
  <c r="U25" i="1"/>
  <c r="V25" i="1"/>
  <c r="W25" i="1"/>
  <c r="X25" i="1"/>
  <c r="T26" i="1"/>
  <c r="U26" i="1"/>
  <c r="V26" i="1"/>
  <c r="W26" i="1"/>
  <c r="X26" i="1"/>
  <c r="T27" i="1"/>
  <c r="U27" i="1"/>
  <c r="V27" i="1"/>
  <c r="W27" i="1"/>
  <c r="X27" i="1"/>
  <c r="T28" i="1"/>
  <c r="U28" i="1"/>
  <c r="V28" i="1"/>
  <c r="W28" i="1"/>
  <c r="X28" i="1"/>
  <c r="T29" i="1"/>
  <c r="U29" i="1"/>
  <c r="V29" i="1"/>
  <c r="W29" i="1"/>
  <c r="X29" i="1"/>
  <c r="T30" i="1"/>
  <c r="U30" i="1"/>
  <c r="V30" i="1"/>
  <c r="W30" i="1"/>
  <c r="X30" i="1"/>
  <c r="T31" i="1"/>
  <c r="U31" i="1"/>
  <c r="V31" i="1"/>
  <c r="W31" i="1"/>
  <c r="X31" i="1"/>
  <c r="T32" i="1"/>
  <c r="U32" i="1"/>
  <c r="V32" i="1"/>
  <c r="W32" i="1"/>
  <c r="X32" i="1"/>
  <c r="T33" i="1"/>
  <c r="U33" i="1"/>
  <c r="V33" i="1"/>
  <c r="W33" i="1"/>
  <c r="X33" i="1"/>
  <c r="T34" i="1"/>
  <c r="U34" i="1"/>
  <c r="V34" i="1"/>
  <c r="W34" i="1"/>
  <c r="X34" i="1"/>
  <c r="T35" i="1"/>
  <c r="U35" i="1"/>
  <c r="V35" i="1"/>
  <c r="W35" i="1"/>
  <c r="X35" i="1"/>
  <c r="T36" i="1"/>
  <c r="U36" i="1"/>
  <c r="V36" i="1"/>
  <c r="W36" i="1"/>
  <c r="X36" i="1"/>
  <c r="T37" i="1"/>
  <c r="U37" i="1"/>
  <c r="V37" i="1"/>
  <c r="W37" i="1"/>
  <c r="X37" i="1"/>
  <c r="T38" i="1"/>
  <c r="U38" i="1"/>
  <c r="V38" i="1"/>
  <c r="W38" i="1"/>
  <c r="X38" i="1"/>
  <c r="T39" i="1"/>
  <c r="U39" i="1"/>
  <c r="V39" i="1"/>
  <c r="W39" i="1"/>
  <c r="X39" i="1"/>
  <c r="T40" i="1"/>
  <c r="U40" i="1"/>
  <c r="V40" i="1"/>
  <c r="W40" i="1"/>
  <c r="X40" i="1"/>
  <c r="T41" i="1"/>
  <c r="U41" i="1"/>
  <c r="V41" i="1"/>
  <c r="W41" i="1"/>
  <c r="X41" i="1"/>
  <c r="T42" i="1"/>
  <c r="U42" i="1"/>
  <c r="V42" i="1"/>
  <c r="W42" i="1"/>
  <c r="X42" i="1"/>
  <c r="T43" i="1"/>
  <c r="U43" i="1"/>
  <c r="V43" i="1"/>
  <c r="W43" i="1"/>
  <c r="X43" i="1"/>
  <c r="T44" i="1"/>
  <c r="U44" i="1"/>
  <c r="V44" i="1"/>
  <c r="W44" i="1"/>
  <c r="X44" i="1"/>
  <c r="T45" i="1"/>
  <c r="U45" i="1"/>
  <c r="V45" i="1"/>
  <c r="W45" i="1"/>
  <c r="X45" i="1"/>
  <c r="T46" i="1"/>
  <c r="U46" i="1"/>
  <c r="V46" i="1"/>
  <c r="W46" i="1"/>
  <c r="X46" i="1"/>
  <c r="T47" i="1"/>
  <c r="U47" i="1"/>
  <c r="V47" i="1"/>
  <c r="W47" i="1"/>
  <c r="X47" i="1"/>
  <c r="T48" i="1"/>
  <c r="U48" i="1"/>
  <c r="V48" i="1"/>
  <c r="W48" i="1"/>
  <c r="X48" i="1"/>
  <c r="T49" i="1"/>
  <c r="U49" i="1"/>
  <c r="V49" i="1"/>
  <c r="W49" i="1"/>
  <c r="X49" i="1"/>
  <c r="T50" i="1"/>
  <c r="U50" i="1"/>
  <c r="V50" i="1"/>
  <c r="W50" i="1"/>
  <c r="X50" i="1"/>
  <c r="T51" i="1"/>
  <c r="U51" i="1"/>
  <c r="V51" i="1"/>
  <c r="W51" i="1"/>
  <c r="X51" i="1"/>
  <c r="T52" i="1"/>
  <c r="U52" i="1"/>
  <c r="V52" i="1"/>
  <c r="W52" i="1"/>
  <c r="X52" i="1"/>
  <c r="T53" i="1"/>
  <c r="U53" i="1"/>
  <c r="V53" i="1"/>
  <c r="W53" i="1"/>
  <c r="X53" i="1"/>
  <c r="T54" i="1"/>
  <c r="U54" i="1"/>
  <c r="V54" i="1"/>
  <c r="W54" i="1"/>
  <c r="X54" i="1"/>
  <c r="T55" i="1"/>
  <c r="U55" i="1"/>
  <c r="V55" i="1"/>
  <c r="W55" i="1"/>
  <c r="X55" i="1"/>
  <c r="T56" i="1"/>
  <c r="U56" i="1"/>
  <c r="V56" i="1"/>
  <c r="W56" i="1"/>
  <c r="X56" i="1"/>
  <c r="T57" i="1"/>
  <c r="U57" i="1"/>
  <c r="V57" i="1"/>
  <c r="W57" i="1"/>
  <c r="X57" i="1"/>
  <c r="T58" i="1"/>
  <c r="U58" i="1"/>
  <c r="V58" i="1"/>
  <c r="W58" i="1"/>
  <c r="X58" i="1"/>
  <c r="T59" i="1"/>
  <c r="U59" i="1"/>
  <c r="V59" i="1"/>
  <c r="W59" i="1"/>
  <c r="X59" i="1"/>
  <c r="T60" i="1"/>
  <c r="U60" i="1"/>
  <c r="V60" i="1"/>
  <c r="W60" i="1"/>
  <c r="X60" i="1"/>
  <c r="T61" i="1"/>
  <c r="U61" i="1"/>
  <c r="V61" i="1"/>
  <c r="W61" i="1"/>
  <c r="X61" i="1"/>
  <c r="T62" i="1"/>
  <c r="U62" i="1"/>
  <c r="V62" i="1"/>
  <c r="W62" i="1"/>
  <c r="X62" i="1"/>
  <c r="T63" i="1"/>
  <c r="U63" i="1"/>
  <c r="V63" i="1"/>
  <c r="W63" i="1"/>
  <c r="X63" i="1"/>
  <c r="T64" i="1"/>
  <c r="U64" i="1"/>
  <c r="V64" i="1"/>
  <c r="W64" i="1"/>
  <c r="X64" i="1"/>
  <c r="T65" i="1"/>
  <c r="U65" i="1"/>
  <c r="V65" i="1"/>
  <c r="W65" i="1"/>
  <c r="X65" i="1"/>
  <c r="T66" i="1"/>
  <c r="U66" i="1"/>
  <c r="V66" i="1"/>
  <c r="W66" i="1"/>
  <c r="X66" i="1"/>
  <c r="T67" i="1"/>
  <c r="U67" i="1"/>
  <c r="V67" i="1"/>
  <c r="W67" i="1"/>
  <c r="X67" i="1"/>
  <c r="T68" i="1"/>
  <c r="U68" i="1"/>
  <c r="V68" i="1"/>
  <c r="W68" i="1"/>
  <c r="X68" i="1"/>
  <c r="T69" i="1"/>
  <c r="U69" i="1"/>
  <c r="V69" i="1"/>
  <c r="W69" i="1"/>
  <c r="X69" i="1"/>
  <c r="T70" i="1"/>
  <c r="U70" i="1"/>
  <c r="V70" i="1"/>
  <c r="W70" i="1"/>
  <c r="X70" i="1"/>
  <c r="T71" i="1"/>
  <c r="U71" i="1"/>
  <c r="V71" i="1"/>
  <c r="W71" i="1"/>
  <c r="X71" i="1"/>
  <c r="T72" i="1"/>
  <c r="U72" i="1"/>
  <c r="V72" i="1"/>
  <c r="W72" i="1"/>
  <c r="X72" i="1"/>
  <c r="T73" i="1"/>
  <c r="U73" i="1"/>
  <c r="V73" i="1"/>
  <c r="W73" i="1"/>
  <c r="X73" i="1"/>
  <c r="T74" i="1"/>
  <c r="U74" i="1"/>
  <c r="V74" i="1"/>
  <c r="W74" i="1"/>
  <c r="X74" i="1"/>
  <c r="T75" i="1"/>
  <c r="U75" i="1"/>
  <c r="V75" i="1"/>
  <c r="W75" i="1"/>
  <c r="X75" i="1"/>
  <c r="T76" i="1"/>
  <c r="U76" i="1"/>
  <c r="V76" i="1"/>
  <c r="W76" i="1"/>
  <c r="X76" i="1"/>
  <c r="T77" i="1"/>
  <c r="U77" i="1"/>
  <c r="V77" i="1"/>
  <c r="W77" i="1"/>
  <c r="X77" i="1"/>
  <c r="T78" i="1"/>
  <c r="U78" i="1"/>
  <c r="V78" i="1"/>
  <c r="W78" i="1"/>
  <c r="X78" i="1"/>
  <c r="T79" i="1"/>
  <c r="U79" i="1"/>
  <c r="V79" i="1"/>
  <c r="W79" i="1"/>
  <c r="X79" i="1"/>
  <c r="T80" i="1"/>
  <c r="U80" i="1"/>
  <c r="V80" i="1"/>
  <c r="W80" i="1"/>
  <c r="X80" i="1"/>
  <c r="T81" i="1"/>
  <c r="U81" i="1"/>
  <c r="V81" i="1"/>
  <c r="W81" i="1"/>
  <c r="X81" i="1"/>
  <c r="T82" i="1"/>
  <c r="U82" i="1"/>
  <c r="V82" i="1"/>
  <c r="W82" i="1"/>
  <c r="X82" i="1"/>
  <c r="T83" i="1"/>
  <c r="U83" i="1"/>
  <c r="V83" i="1"/>
  <c r="W83" i="1"/>
  <c r="X83" i="1"/>
  <c r="T84" i="1"/>
  <c r="U84" i="1"/>
  <c r="V84" i="1"/>
  <c r="W84" i="1"/>
  <c r="X84" i="1"/>
  <c r="T85" i="1"/>
  <c r="U85" i="1"/>
  <c r="V85" i="1"/>
  <c r="W85" i="1"/>
  <c r="X85" i="1"/>
  <c r="T86" i="1"/>
  <c r="U86" i="1"/>
  <c r="V86" i="1"/>
  <c r="W86" i="1"/>
  <c r="X86" i="1"/>
  <c r="T87" i="1"/>
  <c r="U87" i="1"/>
  <c r="V87" i="1"/>
  <c r="W87" i="1"/>
  <c r="X87" i="1"/>
  <c r="T88" i="1"/>
  <c r="U88" i="1"/>
  <c r="V88" i="1"/>
  <c r="W88" i="1"/>
  <c r="X88" i="1"/>
  <c r="T89" i="1"/>
  <c r="U89" i="1"/>
  <c r="V89" i="1"/>
  <c r="W89" i="1"/>
  <c r="X89" i="1"/>
  <c r="T90" i="1"/>
  <c r="U90" i="1"/>
  <c r="V90" i="1"/>
  <c r="W90" i="1"/>
  <c r="X90" i="1"/>
  <c r="T91" i="1"/>
  <c r="U91" i="1"/>
  <c r="V91" i="1"/>
  <c r="W91" i="1"/>
  <c r="X91" i="1"/>
  <c r="T92" i="1"/>
  <c r="U92" i="1"/>
  <c r="V92" i="1"/>
  <c r="W92" i="1"/>
  <c r="X92" i="1"/>
  <c r="T93" i="1"/>
  <c r="U93" i="1"/>
  <c r="V93" i="1"/>
  <c r="W93" i="1"/>
  <c r="X93" i="1"/>
  <c r="T94" i="1"/>
  <c r="U94" i="1"/>
  <c r="V94" i="1"/>
  <c r="W94" i="1"/>
  <c r="X94" i="1"/>
  <c r="T95" i="1"/>
  <c r="U95" i="1"/>
  <c r="V95" i="1"/>
  <c r="W95" i="1"/>
  <c r="X95" i="1"/>
  <c r="T96" i="1"/>
  <c r="U96" i="1"/>
  <c r="V96" i="1"/>
  <c r="W96" i="1"/>
  <c r="X96" i="1"/>
  <c r="T97" i="1"/>
  <c r="U97" i="1"/>
  <c r="V97" i="1"/>
  <c r="W97" i="1"/>
  <c r="X97" i="1"/>
  <c r="T98" i="1"/>
  <c r="U98" i="1"/>
  <c r="V98" i="1"/>
  <c r="W98" i="1"/>
  <c r="X98" i="1"/>
  <c r="T99" i="1"/>
  <c r="U99" i="1"/>
  <c r="V99" i="1"/>
  <c r="W99" i="1"/>
  <c r="X99" i="1"/>
  <c r="T100" i="1"/>
  <c r="U100" i="1"/>
  <c r="V100" i="1"/>
  <c r="W100" i="1"/>
  <c r="X100" i="1"/>
  <c r="T101" i="1"/>
  <c r="U101" i="1"/>
  <c r="V101" i="1"/>
  <c r="W101" i="1"/>
  <c r="X101" i="1"/>
  <c r="T102" i="1"/>
  <c r="U102" i="1"/>
  <c r="V102" i="1"/>
  <c r="W102" i="1"/>
  <c r="X102" i="1"/>
  <c r="T103" i="1"/>
  <c r="U103" i="1"/>
  <c r="V103" i="1"/>
  <c r="W103" i="1"/>
  <c r="X103" i="1"/>
  <c r="T104" i="1"/>
  <c r="U104" i="1"/>
  <c r="V104" i="1"/>
  <c r="W104" i="1"/>
  <c r="X104" i="1"/>
  <c r="T105" i="1"/>
  <c r="U105" i="1"/>
  <c r="V105" i="1"/>
  <c r="W105" i="1"/>
  <c r="X105" i="1"/>
  <c r="T106" i="1"/>
  <c r="U106" i="1"/>
  <c r="V106" i="1"/>
  <c r="W106" i="1"/>
  <c r="X106" i="1"/>
  <c r="T107" i="1"/>
  <c r="U107" i="1"/>
  <c r="V107" i="1"/>
  <c r="W107" i="1"/>
  <c r="X107" i="1"/>
  <c r="T108" i="1"/>
  <c r="U108" i="1"/>
  <c r="V108" i="1"/>
  <c r="W108" i="1"/>
  <c r="X108" i="1"/>
  <c r="T109" i="1"/>
  <c r="U109" i="1"/>
  <c r="V109" i="1"/>
  <c r="W109" i="1"/>
  <c r="X109" i="1"/>
  <c r="T110" i="1"/>
  <c r="U110" i="1"/>
  <c r="V110" i="1"/>
  <c r="W110" i="1"/>
  <c r="X110" i="1"/>
  <c r="T111" i="1"/>
  <c r="U111" i="1"/>
  <c r="V111" i="1"/>
  <c r="W111" i="1"/>
  <c r="X111" i="1"/>
  <c r="T112" i="1"/>
  <c r="U112" i="1"/>
  <c r="V112" i="1"/>
  <c r="W112" i="1"/>
  <c r="X112" i="1"/>
  <c r="T113" i="1"/>
  <c r="U113" i="1"/>
  <c r="V113" i="1"/>
  <c r="W113" i="1"/>
  <c r="X113" i="1"/>
  <c r="T114" i="1"/>
  <c r="U114" i="1"/>
  <c r="V114" i="1"/>
  <c r="W114" i="1"/>
  <c r="X114" i="1"/>
  <c r="T115" i="1"/>
  <c r="U115" i="1"/>
  <c r="V115" i="1"/>
  <c r="W115" i="1"/>
  <c r="X115" i="1"/>
  <c r="T116" i="1"/>
  <c r="U116" i="1"/>
  <c r="V116" i="1"/>
  <c r="W116" i="1"/>
  <c r="X116" i="1"/>
  <c r="T117" i="1"/>
  <c r="U117" i="1"/>
  <c r="V117" i="1"/>
  <c r="W117" i="1"/>
  <c r="X117" i="1"/>
  <c r="T118" i="1"/>
  <c r="U118" i="1"/>
  <c r="V118" i="1"/>
  <c r="W118" i="1"/>
  <c r="X118" i="1"/>
  <c r="T119" i="1"/>
  <c r="U119" i="1"/>
  <c r="V119" i="1"/>
  <c r="W119" i="1"/>
  <c r="X119" i="1"/>
  <c r="T120" i="1"/>
  <c r="U120" i="1"/>
  <c r="V120" i="1"/>
  <c r="W120" i="1"/>
  <c r="X120" i="1"/>
  <c r="T121" i="1"/>
  <c r="U121" i="1"/>
  <c r="V121" i="1"/>
  <c r="W121" i="1"/>
  <c r="X121" i="1"/>
  <c r="T122" i="1"/>
  <c r="U122" i="1"/>
  <c r="V122" i="1"/>
  <c r="W122" i="1"/>
  <c r="X122" i="1"/>
  <c r="T123" i="1"/>
  <c r="U123" i="1"/>
  <c r="V123" i="1"/>
  <c r="W123" i="1"/>
  <c r="X123" i="1"/>
  <c r="T124" i="1"/>
  <c r="U124" i="1"/>
  <c r="V124" i="1"/>
  <c r="W124" i="1"/>
  <c r="X124" i="1"/>
  <c r="T125" i="1"/>
  <c r="U125" i="1"/>
  <c r="V125" i="1"/>
  <c r="W125" i="1"/>
  <c r="X125" i="1"/>
  <c r="T126" i="1"/>
  <c r="U126" i="1"/>
  <c r="V126" i="1"/>
  <c r="W126" i="1"/>
  <c r="X126" i="1"/>
  <c r="T127" i="1"/>
  <c r="U127" i="1"/>
  <c r="V127" i="1"/>
  <c r="W127" i="1"/>
  <c r="X127" i="1"/>
  <c r="T128" i="1"/>
  <c r="U128" i="1"/>
  <c r="V128" i="1"/>
  <c r="W128" i="1"/>
  <c r="X128" i="1"/>
  <c r="T129" i="1"/>
  <c r="U129" i="1"/>
  <c r="V129" i="1"/>
  <c r="W129" i="1"/>
  <c r="X129" i="1"/>
  <c r="T130" i="1"/>
  <c r="U130" i="1"/>
  <c r="V130" i="1"/>
  <c r="W130" i="1"/>
  <c r="X130" i="1"/>
  <c r="T131" i="1"/>
  <c r="U131" i="1"/>
  <c r="V131" i="1"/>
  <c r="W131" i="1"/>
  <c r="X131" i="1"/>
  <c r="T132" i="1"/>
  <c r="U132" i="1"/>
  <c r="V132" i="1"/>
  <c r="W132" i="1"/>
  <c r="X132" i="1"/>
  <c r="T133" i="1"/>
  <c r="U133" i="1"/>
  <c r="V133" i="1"/>
  <c r="W133" i="1"/>
  <c r="X133" i="1"/>
  <c r="T134" i="1"/>
  <c r="U134" i="1"/>
  <c r="V134" i="1"/>
  <c r="W134" i="1"/>
  <c r="X134" i="1"/>
  <c r="T135" i="1"/>
  <c r="U135" i="1"/>
  <c r="V135" i="1"/>
  <c r="W135" i="1"/>
  <c r="X135" i="1"/>
  <c r="T136" i="1"/>
  <c r="U136" i="1"/>
  <c r="V136" i="1"/>
  <c r="W136" i="1"/>
  <c r="X136" i="1"/>
  <c r="T137" i="1"/>
  <c r="U137" i="1"/>
  <c r="V137" i="1"/>
  <c r="W137" i="1"/>
  <c r="X137" i="1"/>
  <c r="T138" i="1"/>
  <c r="U138" i="1"/>
  <c r="V138" i="1"/>
  <c r="W138" i="1"/>
  <c r="X138" i="1"/>
  <c r="T139" i="1"/>
  <c r="U139" i="1"/>
  <c r="V139" i="1"/>
  <c r="W139" i="1"/>
  <c r="X139" i="1"/>
  <c r="T140" i="1"/>
  <c r="U140" i="1"/>
  <c r="V140" i="1"/>
  <c r="W140" i="1"/>
  <c r="X140" i="1"/>
  <c r="T141" i="1"/>
  <c r="U141" i="1"/>
  <c r="V141" i="1"/>
  <c r="W141" i="1"/>
  <c r="X141" i="1"/>
  <c r="T142" i="1"/>
  <c r="U142" i="1"/>
  <c r="V142" i="1"/>
  <c r="W142" i="1"/>
  <c r="X142" i="1"/>
  <c r="T143" i="1"/>
  <c r="U143" i="1"/>
  <c r="V143" i="1"/>
  <c r="W143" i="1"/>
  <c r="X143" i="1"/>
  <c r="T144" i="1"/>
  <c r="U144" i="1"/>
  <c r="V144" i="1"/>
  <c r="W144" i="1"/>
  <c r="X144" i="1"/>
  <c r="T145" i="1"/>
  <c r="U145" i="1"/>
  <c r="V145" i="1"/>
  <c r="W145" i="1"/>
  <c r="X145" i="1"/>
  <c r="T146" i="1"/>
  <c r="U146" i="1"/>
  <c r="V146" i="1"/>
  <c r="W146" i="1"/>
  <c r="X146" i="1"/>
  <c r="T147" i="1"/>
  <c r="U147" i="1"/>
  <c r="V147" i="1"/>
  <c r="W147" i="1"/>
  <c r="X147" i="1"/>
  <c r="T148" i="1"/>
  <c r="U148" i="1"/>
  <c r="V148" i="1"/>
  <c r="W148" i="1"/>
  <c r="X148" i="1"/>
  <c r="T149" i="1"/>
  <c r="U149" i="1"/>
  <c r="V149" i="1"/>
  <c r="W149" i="1"/>
  <c r="X149" i="1"/>
  <c r="T150" i="1"/>
  <c r="U150" i="1"/>
  <c r="V150" i="1"/>
  <c r="W150" i="1"/>
  <c r="X150" i="1"/>
  <c r="T151" i="1"/>
  <c r="U151" i="1"/>
  <c r="V151" i="1"/>
  <c r="W151" i="1"/>
  <c r="X151" i="1"/>
  <c r="T152" i="1"/>
  <c r="U152" i="1"/>
  <c r="V152" i="1"/>
  <c r="W152" i="1"/>
  <c r="X152" i="1"/>
  <c r="T153" i="1"/>
  <c r="U153" i="1"/>
  <c r="V153" i="1"/>
  <c r="W153" i="1"/>
  <c r="X153" i="1"/>
  <c r="T154" i="1"/>
  <c r="U154" i="1"/>
  <c r="V154" i="1"/>
  <c r="W154" i="1"/>
  <c r="X154" i="1"/>
  <c r="T155" i="1"/>
  <c r="U155" i="1"/>
  <c r="V155" i="1"/>
  <c r="W155" i="1"/>
  <c r="X155" i="1"/>
  <c r="T156" i="1"/>
  <c r="U156" i="1"/>
  <c r="V156" i="1"/>
  <c r="W156" i="1"/>
  <c r="X156" i="1"/>
  <c r="T157" i="1"/>
  <c r="U157" i="1"/>
  <c r="V157" i="1"/>
  <c r="W157" i="1"/>
  <c r="X157" i="1"/>
  <c r="T158" i="1"/>
  <c r="U158" i="1"/>
  <c r="V158" i="1"/>
  <c r="W158" i="1"/>
  <c r="X158" i="1"/>
  <c r="T159" i="1"/>
  <c r="U159" i="1"/>
  <c r="V159" i="1"/>
  <c r="W159" i="1"/>
  <c r="X159" i="1"/>
  <c r="T160" i="1"/>
  <c r="U160" i="1"/>
  <c r="V160" i="1"/>
  <c r="W160" i="1"/>
  <c r="X160" i="1"/>
  <c r="T161" i="1"/>
  <c r="U161" i="1"/>
  <c r="V161" i="1"/>
  <c r="W161" i="1"/>
  <c r="X161" i="1"/>
  <c r="T162" i="1"/>
  <c r="U162" i="1"/>
  <c r="V162" i="1"/>
  <c r="W162" i="1"/>
  <c r="X162" i="1"/>
  <c r="T163" i="1"/>
  <c r="U163" i="1"/>
  <c r="V163" i="1"/>
  <c r="W163" i="1"/>
  <c r="X163" i="1"/>
  <c r="T164" i="1"/>
  <c r="U164" i="1"/>
  <c r="V164" i="1"/>
  <c r="W164" i="1"/>
  <c r="X164" i="1"/>
  <c r="T165" i="1"/>
  <c r="U165" i="1"/>
  <c r="V165" i="1"/>
  <c r="W165" i="1"/>
  <c r="X165" i="1"/>
  <c r="T166" i="1"/>
  <c r="U166" i="1"/>
  <c r="V166" i="1"/>
  <c r="W166" i="1"/>
  <c r="X166" i="1"/>
  <c r="T167" i="1"/>
  <c r="U167" i="1"/>
  <c r="V167" i="1"/>
  <c r="W167" i="1"/>
  <c r="X167" i="1"/>
  <c r="T168" i="1"/>
  <c r="U168" i="1"/>
  <c r="V168" i="1"/>
  <c r="W168" i="1"/>
  <c r="X168" i="1"/>
  <c r="T169" i="1"/>
  <c r="U169" i="1"/>
  <c r="V169" i="1"/>
  <c r="W169" i="1"/>
  <c r="X169" i="1"/>
  <c r="T170" i="1"/>
  <c r="U170" i="1"/>
  <c r="V170" i="1"/>
  <c r="W170" i="1"/>
  <c r="X170" i="1"/>
  <c r="T171" i="1"/>
  <c r="U171" i="1"/>
  <c r="V171" i="1"/>
  <c r="W171" i="1"/>
  <c r="X171" i="1"/>
  <c r="T172" i="1"/>
  <c r="U172" i="1"/>
  <c r="V172" i="1"/>
  <c r="W172" i="1"/>
  <c r="X172" i="1"/>
  <c r="T173" i="1"/>
  <c r="U173" i="1"/>
  <c r="V173" i="1"/>
  <c r="W173" i="1"/>
  <c r="X173" i="1"/>
  <c r="T174" i="1"/>
  <c r="U174" i="1"/>
  <c r="V174" i="1"/>
  <c r="W174" i="1"/>
  <c r="X174" i="1"/>
  <c r="T175" i="1"/>
  <c r="U175" i="1"/>
  <c r="V175" i="1"/>
  <c r="W175" i="1"/>
  <c r="X175" i="1"/>
  <c r="T176" i="1"/>
  <c r="U176" i="1"/>
  <c r="V176" i="1"/>
  <c r="W176" i="1"/>
  <c r="X176" i="1"/>
  <c r="T177" i="1"/>
  <c r="U177" i="1"/>
  <c r="V177" i="1"/>
  <c r="W177" i="1"/>
  <c r="X177" i="1"/>
  <c r="T178" i="1"/>
  <c r="U178" i="1"/>
  <c r="V178" i="1"/>
  <c r="W178" i="1"/>
  <c r="X178" i="1"/>
  <c r="T179" i="1"/>
  <c r="U179" i="1"/>
  <c r="V179" i="1"/>
  <c r="W179" i="1"/>
  <c r="X179" i="1"/>
  <c r="T180" i="1"/>
  <c r="U180" i="1"/>
  <c r="V180" i="1"/>
  <c r="W180" i="1"/>
  <c r="X180" i="1"/>
  <c r="T181" i="1"/>
  <c r="U181" i="1"/>
  <c r="V181" i="1"/>
  <c r="W181" i="1"/>
  <c r="X181" i="1"/>
  <c r="T182" i="1"/>
  <c r="U182" i="1"/>
  <c r="V182" i="1"/>
  <c r="W182" i="1"/>
  <c r="X182" i="1"/>
  <c r="T183" i="1"/>
  <c r="U183" i="1"/>
  <c r="V183" i="1"/>
  <c r="W183" i="1"/>
  <c r="X183" i="1"/>
  <c r="T184" i="1"/>
  <c r="U184" i="1"/>
  <c r="V184" i="1"/>
  <c r="W184" i="1"/>
  <c r="X184" i="1"/>
  <c r="T185" i="1"/>
  <c r="U185" i="1"/>
  <c r="V185" i="1"/>
  <c r="W185" i="1"/>
  <c r="X185" i="1"/>
  <c r="T186" i="1"/>
  <c r="U186" i="1"/>
  <c r="V186" i="1"/>
  <c r="W186" i="1"/>
  <c r="X186" i="1"/>
  <c r="T187" i="1"/>
  <c r="U187" i="1"/>
  <c r="V187" i="1"/>
  <c r="W187" i="1"/>
  <c r="X187" i="1"/>
  <c r="T188" i="1"/>
  <c r="U188" i="1"/>
  <c r="V188" i="1"/>
  <c r="W188" i="1"/>
  <c r="X188" i="1"/>
  <c r="T189" i="1"/>
  <c r="U189" i="1"/>
  <c r="V189" i="1"/>
  <c r="W189" i="1"/>
  <c r="X189" i="1"/>
  <c r="T190" i="1"/>
  <c r="U190" i="1"/>
  <c r="V190" i="1"/>
  <c r="W190" i="1"/>
  <c r="X190" i="1"/>
  <c r="T191" i="1"/>
  <c r="U191" i="1"/>
  <c r="V191" i="1"/>
  <c r="W191" i="1"/>
  <c r="X191" i="1"/>
  <c r="T192" i="1"/>
  <c r="U192" i="1"/>
  <c r="V192" i="1"/>
  <c r="W192" i="1"/>
  <c r="X192" i="1"/>
  <c r="T193" i="1"/>
  <c r="U193" i="1"/>
  <c r="V193" i="1"/>
  <c r="W193" i="1"/>
  <c r="X193" i="1"/>
  <c r="T194" i="1"/>
  <c r="U194" i="1"/>
  <c r="V194" i="1"/>
  <c r="W194" i="1"/>
  <c r="X194" i="1"/>
  <c r="T195" i="1"/>
  <c r="U195" i="1"/>
  <c r="V195" i="1"/>
  <c r="W195" i="1"/>
  <c r="X195" i="1"/>
  <c r="T196" i="1"/>
  <c r="U196" i="1"/>
  <c r="V196" i="1"/>
  <c r="W196" i="1"/>
  <c r="X196" i="1"/>
  <c r="T197" i="1"/>
  <c r="U197" i="1"/>
  <c r="V197" i="1"/>
  <c r="W197" i="1"/>
  <c r="X197" i="1"/>
  <c r="T198" i="1"/>
  <c r="U198" i="1"/>
  <c r="V198" i="1"/>
  <c r="W198" i="1"/>
  <c r="X198" i="1"/>
  <c r="T199" i="1"/>
  <c r="U199" i="1"/>
  <c r="V199" i="1"/>
  <c r="W199" i="1"/>
  <c r="X199" i="1"/>
  <c r="T200" i="1"/>
  <c r="U200" i="1"/>
  <c r="V200" i="1"/>
  <c r="W200" i="1"/>
  <c r="X200" i="1"/>
  <c r="T201" i="1"/>
  <c r="U201" i="1"/>
  <c r="V201" i="1"/>
  <c r="W201" i="1"/>
  <c r="X201" i="1"/>
  <c r="T202" i="1"/>
  <c r="U202" i="1"/>
  <c r="V202" i="1"/>
  <c r="W202" i="1"/>
  <c r="X202" i="1"/>
  <c r="T203" i="1"/>
  <c r="U203" i="1"/>
  <c r="V203" i="1"/>
  <c r="W203" i="1"/>
  <c r="X203" i="1"/>
  <c r="T204" i="1"/>
  <c r="U204" i="1"/>
  <c r="V204" i="1"/>
  <c r="W204" i="1"/>
  <c r="X204" i="1"/>
  <c r="T205" i="1"/>
  <c r="U205" i="1"/>
  <c r="V205" i="1"/>
  <c r="W205" i="1"/>
  <c r="X205" i="1"/>
  <c r="T206" i="1"/>
  <c r="U206" i="1"/>
  <c r="V206" i="1"/>
  <c r="W206" i="1"/>
  <c r="X206" i="1"/>
  <c r="T207" i="1"/>
  <c r="U207" i="1"/>
  <c r="V207" i="1"/>
  <c r="W207" i="1"/>
  <c r="X207" i="1"/>
  <c r="T208" i="1"/>
  <c r="U208" i="1"/>
  <c r="V208" i="1"/>
  <c r="W208" i="1"/>
  <c r="X208" i="1"/>
  <c r="T209" i="1"/>
  <c r="U209" i="1"/>
  <c r="V209" i="1"/>
  <c r="W209" i="1"/>
  <c r="X209" i="1"/>
  <c r="T210" i="1"/>
  <c r="U210" i="1"/>
  <c r="V210" i="1"/>
  <c r="W210" i="1"/>
  <c r="X210" i="1"/>
  <c r="T211" i="1"/>
  <c r="U211" i="1"/>
  <c r="V211" i="1"/>
  <c r="W211" i="1"/>
  <c r="X211" i="1"/>
  <c r="T212" i="1"/>
  <c r="U212" i="1"/>
  <c r="V212" i="1"/>
  <c r="W212" i="1"/>
  <c r="X212" i="1"/>
  <c r="T213" i="1"/>
  <c r="U213" i="1"/>
  <c r="V213" i="1"/>
  <c r="W213" i="1"/>
  <c r="X213" i="1"/>
  <c r="T214" i="1"/>
  <c r="U214" i="1"/>
  <c r="V214" i="1"/>
  <c r="W214" i="1"/>
  <c r="X214" i="1"/>
  <c r="T215" i="1"/>
  <c r="U215" i="1"/>
  <c r="V215" i="1"/>
  <c r="W215" i="1"/>
  <c r="X215" i="1"/>
  <c r="T216" i="1"/>
  <c r="U216" i="1"/>
  <c r="V216" i="1"/>
  <c r="W216" i="1"/>
  <c r="X216" i="1"/>
  <c r="T217" i="1"/>
  <c r="U217" i="1"/>
  <c r="V217" i="1"/>
  <c r="W217" i="1"/>
  <c r="X217" i="1"/>
  <c r="T218" i="1"/>
  <c r="U218" i="1"/>
  <c r="V218" i="1"/>
  <c r="W218" i="1"/>
  <c r="X218" i="1"/>
  <c r="T219" i="1"/>
  <c r="U219" i="1"/>
  <c r="V219" i="1"/>
  <c r="W219" i="1"/>
  <c r="X219" i="1"/>
  <c r="T220" i="1"/>
  <c r="U220" i="1"/>
  <c r="V220" i="1"/>
  <c r="W220" i="1"/>
  <c r="X220" i="1"/>
  <c r="T221" i="1"/>
  <c r="U221" i="1"/>
  <c r="V221" i="1"/>
  <c r="W221" i="1"/>
  <c r="X221" i="1"/>
  <c r="T222" i="1"/>
  <c r="U222" i="1"/>
  <c r="V222" i="1"/>
  <c r="W222" i="1"/>
  <c r="X222" i="1"/>
  <c r="T223" i="1"/>
  <c r="U223" i="1"/>
  <c r="V223" i="1"/>
  <c r="W223" i="1"/>
  <c r="X223" i="1"/>
  <c r="T224" i="1"/>
  <c r="U224" i="1"/>
  <c r="V224" i="1"/>
  <c r="W224" i="1"/>
  <c r="X224" i="1"/>
  <c r="T225" i="1"/>
  <c r="U225" i="1"/>
  <c r="V225" i="1"/>
  <c r="W225" i="1"/>
  <c r="X225" i="1"/>
  <c r="T226" i="1"/>
  <c r="U226" i="1"/>
  <c r="V226" i="1"/>
  <c r="W226" i="1"/>
  <c r="X226" i="1"/>
  <c r="T227" i="1"/>
  <c r="U227" i="1"/>
  <c r="V227" i="1"/>
  <c r="W227" i="1"/>
  <c r="X227" i="1"/>
  <c r="T228" i="1"/>
  <c r="U228" i="1"/>
  <c r="V228" i="1"/>
  <c r="W228" i="1"/>
  <c r="X228" i="1"/>
  <c r="T229" i="1"/>
  <c r="U229" i="1"/>
  <c r="V229" i="1"/>
  <c r="W229" i="1"/>
  <c r="X229" i="1"/>
  <c r="T230" i="1"/>
  <c r="U230" i="1"/>
  <c r="V230" i="1"/>
  <c r="W230" i="1"/>
  <c r="X230" i="1"/>
  <c r="T231" i="1"/>
  <c r="U231" i="1"/>
  <c r="V231" i="1"/>
  <c r="W231" i="1"/>
  <c r="X231" i="1"/>
  <c r="T232" i="1"/>
  <c r="U232" i="1"/>
  <c r="V232" i="1"/>
  <c r="W232" i="1"/>
  <c r="X232" i="1"/>
  <c r="T233" i="1"/>
  <c r="U233" i="1"/>
  <c r="V233" i="1"/>
  <c r="W233" i="1"/>
  <c r="X233" i="1"/>
  <c r="T234" i="1"/>
  <c r="U234" i="1"/>
  <c r="V234" i="1"/>
  <c r="W234" i="1"/>
  <c r="X234" i="1"/>
  <c r="T235" i="1"/>
  <c r="U235" i="1"/>
  <c r="V235" i="1"/>
  <c r="W235" i="1"/>
  <c r="X235" i="1"/>
  <c r="T236" i="1"/>
  <c r="U236" i="1"/>
  <c r="V236" i="1"/>
  <c r="W236" i="1"/>
  <c r="X236" i="1"/>
  <c r="T237" i="1"/>
  <c r="U237" i="1"/>
  <c r="V237" i="1"/>
  <c r="W237" i="1"/>
  <c r="X237" i="1"/>
  <c r="T238" i="1"/>
  <c r="U238" i="1"/>
  <c r="V238" i="1"/>
  <c r="W238" i="1"/>
  <c r="X238" i="1"/>
  <c r="T239" i="1"/>
  <c r="U239" i="1"/>
  <c r="V239" i="1"/>
  <c r="W239" i="1"/>
  <c r="X239" i="1"/>
  <c r="T240" i="1"/>
  <c r="U240" i="1"/>
  <c r="V240" i="1"/>
  <c r="W240" i="1"/>
  <c r="X240" i="1"/>
  <c r="T241" i="1"/>
  <c r="U241" i="1"/>
  <c r="V241" i="1"/>
  <c r="W241" i="1"/>
  <c r="X241" i="1"/>
  <c r="T242" i="1"/>
  <c r="U242" i="1"/>
  <c r="V242" i="1"/>
  <c r="W242" i="1"/>
  <c r="X242" i="1"/>
  <c r="T243" i="1"/>
  <c r="U243" i="1"/>
  <c r="V243" i="1"/>
  <c r="W243" i="1"/>
  <c r="X243" i="1"/>
  <c r="T244" i="1"/>
  <c r="U244" i="1"/>
  <c r="V244" i="1"/>
  <c r="W244" i="1"/>
  <c r="X244" i="1"/>
  <c r="T245" i="1"/>
  <c r="U245" i="1"/>
  <c r="V245" i="1"/>
  <c r="W245" i="1"/>
  <c r="X245" i="1"/>
  <c r="T246" i="1"/>
  <c r="U246" i="1"/>
  <c r="V246" i="1"/>
  <c r="W246" i="1"/>
  <c r="X246" i="1"/>
  <c r="T247" i="1"/>
  <c r="U247" i="1"/>
  <c r="V247" i="1"/>
  <c r="W247" i="1"/>
  <c r="X247" i="1"/>
  <c r="T248" i="1"/>
  <c r="U248" i="1"/>
  <c r="V248" i="1"/>
  <c r="W248" i="1"/>
  <c r="X248" i="1"/>
  <c r="T249" i="1"/>
  <c r="U249" i="1"/>
  <c r="V249" i="1"/>
  <c r="W249" i="1"/>
  <c r="X249" i="1"/>
  <c r="T250" i="1"/>
  <c r="U250" i="1"/>
  <c r="V250" i="1"/>
  <c r="W250" i="1"/>
  <c r="X250" i="1"/>
  <c r="T251" i="1"/>
  <c r="U251" i="1"/>
  <c r="V251" i="1"/>
  <c r="W251" i="1"/>
  <c r="X251" i="1"/>
  <c r="T252" i="1"/>
  <c r="U252" i="1"/>
  <c r="V252" i="1"/>
  <c r="W252" i="1"/>
  <c r="X252" i="1"/>
  <c r="T253" i="1"/>
  <c r="U253" i="1"/>
  <c r="V253" i="1"/>
  <c r="W253" i="1"/>
  <c r="X253" i="1"/>
  <c r="T254" i="1"/>
  <c r="U254" i="1"/>
  <c r="V254" i="1"/>
  <c r="W254" i="1"/>
  <c r="X254" i="1"/>
  <c r="T255" i="1"/>
  <c r="U255" i="1"/>
  <c r="V255" i="1"/>
  <c r="W255" i="1"/>
  <c r="X255" i="1"/>
  <c r="T256" i="1"/>
  <c r="U256" i="1"/>
  <c r="V256" i="1"/>
  <c r="W256" i="1"/>
  <c r="X256" i="1"/>
  <c r="T257" i="1"/>
  <c r="U257" i="1"/>
  <c r="V257" i="1"/>
  <c r="W257" i="1"/>
  <c r="X257" i="1"/>
  <c r="T258" i="1"/>
  <c r="U258" i="1"/>
  <c r="V258" i="1"/>
  <c r="W258" i="1"/>
  <c r="X258" i="1"/>
  <c r="T259" i="1"/>
  <c r="U259" i="1"/>
  <c r="V259" i="1"/>
  <c r="W259" i="1"/>
  <c r="X259" i="1"/>
  <c r="T260" i="1"/>
  <c r="U260" i="1"/>
  <c r="V260" i="1"/>
  <c r="W260" i="1"/>
  <c r="X260" i="1"/>
  <c r="T261" i="1"/>
  <c r="U261" i="1"/>
  <c r="V261" i="1"/>
  <c r="W261" i="1"/>
  <c r="X261" i="1"/>
  <c r="T262" i="1"/>
  <c r="U262" i="1"/>
  <c r="V262" i="1"/>
  <c r="W262" i="1"/>
  <c r="X262" i="1"/>
  <c r="T263" i="1"/>
  <c r="U263" i="1"/>
  <c r="V263" i="1"/>
  <c r="W263" i="1"/>
  <c r="X263" i="1"/>
  <c r="T264" i="1"/>
  <c r="U264" i="1"/>
  <c r="V264" i="1"/>
  <c r="W264" i="1"/>
  <c r="X264" i="1"/>
  <c r="T265" i="1"/>
  <c r="U265" i="1"/>
  <c r="V265" i="1"/>
  <c r="W265" i="1"/>
  <c r="X265" i="1"/>
  <c r="T266" i="1"/>
  <c r="U266" i="1"/>
  <c r="V266" i="1"/>
  <c r="W266" i="1"/>
  <c r="X266" i="1"/>
  <c r="T267" i="1"/>
  <c r="U267" i="1"/>
  <c r="V267" i="1"/>
  <c r="W267" i="1"/>
  <c r="X267" i="1"/>
  <c r="T268" i="1"/>
  <c r="U268" i="1"/>
  <c r="V268" i="1"/>
  <c r="W268" i="1"/>
  <c r="X268" i="1"/>
  <c r="T269" i="1"/>
  <c r="U269" i="1"/>
  <c r="V269" i="1"/>
  <c r="W269" i="1"/>
  <c r="X269" i="1"/>
  <c r="T270" i="1"/>
  <c r="U270" i="1"/>
  <c r="V270" i="1"/>
  <c r="W270" i="1"/>
  <c r="X270" i="1"/>
  <c r="T271" i="1"/>
  <c r="U271" i="1"/>
  <c r="V271" i="1"/>
  <c r="W271" i="1"/>
  <c r="X271" i="1"/>
  <c r="T272" i="1"/>
  <c r="U272" i="1"/>
  <c r="V272" i="1"/>
  <c r="W272" i="1"/>
  <c r="X272" i="1"/>
  <c r="T273" i="1"/>
  <c r="U273" i="1"/>
  <c r="V273" i="1"/>
  <c r="W273" i="1"/>
  <c r="X273" i="1"/>
  <c r="T274" i="1"/>
  <c r="U274" i="1"/>
  <c r="V274" i="1"/>
  <c r="W274" i="1"/>
  <c r="X274" i="1"/>
  <c r="T275" i="1"/>
  <c r="U275" i="1"/>
  <c r="V275" i="1"/>
  <c r="W275" i="1"/>
  <c r="X275" i="1"/>
  <c r="T276" i="1"/>
  <c r="U276" i="1"/>
  <c r="V276" i="1"/>
  <c r="W276" i="1"/>
  <c r="X276" i="1"/>
  <c r="T277" i="1"/>
  <c r="U277" i="1"/>
  <c r="V277" i="1"/>
  <c r="W277" i="1"/>
  <c r="X277" i="1"/>
  <c r="T278" i="1"/>
  <c r="U278" i="1"/>
  <c r="V278" i="1"/>
  <c r="W278" i="1"/>
  <c r="X278" i="1"/>
  <c r="T279" i="1"/>
  <c r="U279" i="1"/>
  <c r="V279" i="1"/>
  <c r="W279" i="1"/>
  <c r="X279" i="1"/>
  <c r="T280" i="1"/>
  <c r="U280" i="1"/>
  <c r="V280" i="1"/>
  <c r="W280" i="1"/>
  <c r="X280" i="1"/>
  <c r="T281" i="1"/>
  <c r="U281" i="1"/>
  <c r="V281" i="1"/>
  <c r="W281" i="1"/>
  <c r="X281" i="1"/>
  <c r="T282" i="1"/>
  <c r="U282" i="1"/>
  <c r="V282" i="1"/>
  <c r="W282" i="1"/>
  <c r="X282" i="1"/>
  <c r="T283" i="1"/>
  <c r="U283" i="1"/>
  <c r="V283" i="1"/>
  <c r="W283" i="1"/>
  <c r="X283" i="1"/>
  <c r="T284" i="1"/>
  <c r="U284" i="1"/>
  <c r="V284" i="1"/>
  <c r="W284" i="1"/>
  <c r="X284" i="1"/>
  <c r="T285" i="1"/>
  <c r="U285" i="1"/>
  <c r="V285" i="1"/>
  <c r="W285" i="1"/>
  <c r="X285" i="1"/>
  <c r="T286" i="1"/>
  <c r="U286" i="1"/>
  <c r="V286" i="1"/>
  <c r="W286" i="1"/>
  <c r="X286" i="1"/>
  <c r="T287" i="1"/>
  <c r="U287" i="1"/>
  <c r="V287" i="1"/>
  <c r="W287" i="1"/>
  <c r="X287" i="1"/>
  <c r="T288" i="1"/>
  <c r="U288" i="1"/>
  <c r="V288" i="1"/>
  <c r="W288" i="1"/>
  <c r="X288" i="1"/>
  <c r="T289" i="1"/>
  <c r="U289" i="1"/>
  <c r="V289" i="1"/>
  <c r="W289" i="1"/>
  <c r="X289" i="1"/>
  <c r="T290" i="1"/>
  <c r="U290" i="1"/>
  <c r="V290" i="1"/>
  <c r="W290" i="1"/>
  <c r="X290" i="1"/>
  <c r="T291" i="1"/>
  <c r="U291" i="1"/>
  <c r="V291" i="1"/>
  <c r="W291" i="1"/>
  <c r="X291" i="1"/>
  <c r="T292" i="1"/>
  <c r="U292" i="1"/>
  <c r="V292" i="1"/>
  <c r="W292" i="1"/>
  <c r="X292" i="1"/>
  <c r="T293" i="1"/>
  <c r="U293" i="1"/>
  <c r="V293" i="1"/>
  <c r="W293" i="1"/>
  <c r="X293" i="1"/>
  <c r="T294" i="1"/>
  <c r="U294" i="1"/>
  <c r="V294" i="1"/>
  <c r="W294" i="1"/>
  <c r="X294" i="1"/>
  <c r="T295" i="1"/>
  <c r="U295" i="1"/>
  <c r="V295" i="1"/>
  <c r="W295" i="1"/>
  <c r="X295" i="1"/>
  <c r="T296" i="1"/>
  <c r="U296" i="1"/>
  <c r="V296" i="1"/>
  <c r="W296" i="1"/>
  <c r="X296" i="1"/>
  <c r="T297" i="1"/>
  <c r="U297" i="1"/>
  <c r="V297" i="1"/>
  <c r="W297" i="1"/>
  <c r="X297" i="1"/>
  <c r="T298" i="1"/>
  <c r="U298" i="1"/>
  <c r="V298" i="1"/>
  <c r="W298" i="1"/>
  <c r="X298" i="1"/>
  <c r="T299" i="1"/>
  <c r="U299" i="1"/>
  <c r="V299" i="1"/>
  <c r="W299" i="1"/>
  <c r="X299" i="1"/>
  <c r="T300" i="1"/>
  <c r="U300" i="1"/>
  <c r="V300" i="1"/>
  <c r="W300" i="1"/>
  <c r="X300" i="1"/>
  <c r="T301" i="1"/>
  <c r="U301" i="1"/>
  <c r="V301" i="1"/>
  <c r="W301" i="1"/>
  <c r="X301" i="1"/>
  <c r="T302" i="1"/>
  <c r="U302" i="1"/>
  <c r="V302" i="1"/>
  <c r="W302" i="1"/>
  <c r="X302" i="1"/>
  <c r="T303" i="1"/>
  <c r="U303" i="1"/>
  <c r="V303" i="1"/>
  <c r="W303" i="1"/>
  <c r="X303" i="1"/>
  <c r="T304" i="1"/>
  <c r="U304" i="1"/>
  <c r="V304" i="1"/>
  <c r="W304" i="1"/>
  <c r="X304" i="1"/>
  <c r="T305" i="1"/>
  <c r="U305" i="1"/>
  <c r="V305" i="1"/>
  <c r="W305" i="1"/>
  <c r="X305" i="1"/>
  <c r="T306" i="1"/>
  <c r="U306" i="1"/>
  <c r="V306" i="1"/>
  <c r="W306" i="1"/>
  <c r="X306" i="1"/>
  <c r="T307" i="1"/>
  <c r="U307" i="1"/>
  <c r="V307" i="1"/>
  <c r="W307" i="1"/>
  <c r="X307" i="1"/>
  <c r="T308" i="1"/>
  <c r="U308" i="1"/>
  <c r="V308" i="1"/>
  <c r="W308" i="1"/>
  <c r="X308" i="1"/>
  <c r="T309" i="1"/>
  <c r="U309" i="1"/>
  <c r="V309" i="1"/>
  <c r="W309" i="1"/>
  <c r="X309" i="1"/>
  <c r="T310" i="1"/>
  <c r="U310" i="1"/>
  <c r="V310" i="1"/>
  <c r="W310" i="1"/>
  <c r="X310" i="1"/>
  <c r="T311" i="1"/>
  <c r="U311" i="1"/>
  <c r="V311" i="1"/>
  <c r="W311" i="1"/>
  <c r="X311" i="1"/>
  <c r="T312" i="1"/>
  <c r="U312" i="1"/>
  <c r="V312" i="1"/>
  <c r="W312" i="1"/>
  <c r="X312" i="1"/>
  <c r="T313" i="1"/>
  <c r="U313" i="1"/>
  <c r="V313" i="1"/>
  <c r="W313" i="1"/>
  <c r="X313" i="1"/>
  <c r="T314" i="1"/>
  <c r="U314" i="1"/>
  <c r="V314" i="1"/>
  <c r="W314" i="1"/>
  <c r="X314" i="1"/>
  <c r="T315" i="1"/>
  <c r="U315" i="1"/>
  <c r="V315" i="1"/>
  <c r="W315" i="1"/>
  <c r="X315" i="1"/>
  <c r="T316" i="1"/>
  <c r="U316" i="1"/>
  <c r="V316" i="1"/>
  <c r="W316" i="1"/>
  <c r="X316" i="1"/>
  <c r="T317" i="1"/>
  <c r="U317" i="1"/>
  <c r="V317" i="1"/>
  <c r="W317" i="1"/>
  <c r="X317" i="1"/>
  <c r="T318" i="1"/>
  <c r="U318" i="1"/>
  <c r="V318" i="1"/>
  <c r="W318" i="1"/>
  <c r="X318" i="1"/>
  <c r="T319" i="1"/>
  <c r="U319" i="1"/>
  <c r="V319" i="1"/>
  <c r="W319" i="1"/>
  <c r="X319" i="1"/>
  <c r="T320" i="1"/>
  <c r="U320" i="1"/>
  <c r="V320" i="1"/>
  <c r="W320" i="1"/>
  <c r="X320" i="1"/>
  <c r="T321" i="1"/>
  <c r="U321" i="1"/>
  <c r="V321" i="1"/>
  <c r="W321" i="1"/>
  <c r="X321" i="1"/>
  <c r="T322" i="1"/>
  <c r="U322" i="1"/>
  <c r="V322" i="1"/>
  <c r="W322" i="1"/>
  <c r="X322" i="1"/>
  <c r="T323" i="1"/>
  <c r="U323" i="1"/>
  <c r="V323" i="1"/>
  <c r="W323" i="1"/>
  <c r="X323" i="1"/>
  <c r="T324" i="1"/>
  <c r="U324" i="1"/>
  <c r="V324" i="1"/>
  <c r="W324" i="1"/>
  <c r="X324" i="1"/>
  <c r="T325" i="1"/>
  <c r="U325" i="1"/>
  <c r="V325" i="1"/>
  <c r="W325" i="1"/>
  <c r="X325" i="1"/>
  <c r="T326" i="1"/>
  <c r="U326" i="1"/>
  <c r="V326" i="1"/>
  <c r="W326" i="1"/>
  <c r="X326" i="1"/>
  <c r="T327" i="1"/>
  <c r="U327" i="1"/>
  <c r="V327" i="1"/>
  <c r="W327" i="1"/>
  <c r="X327" i="1"/>
  <c r="T328" i="1"/>
  <c r="U328" i="1"/>
  <c r="V328" i="1"/>
  <c r="W328" i="1"/>
  <c r="X328" i="1"/>
  <c r="T329" i="1"/>
  <c r="U329" i="1"/>
  <c r="V329" i="1"/>
  <c r="W329" i="1"/>
  <c r="X329" i="1"/>
  <c r="T330" i="1"/>
  <c r="U330" i="1"/>
  <c r="V330" i="1"/>
  <c r="W330" i="1"/>
  <c r="X330" i="1"/>
  <c r="T331" i="1"/>
  <c r="U331" i="1"/>
  <c r="V331" i="1"/>
  <c r="W331" i="1"/>
  <c r="X331" i="1"/>
  <c r="T332" i="1"/>
  <c r="U332" i="1"/>
  <c r="V332" i="1"/>
  <c r="W332" i="1"/>
  <c r="X332" i="1"/>
  <c r="T333" i="1"/>
  <c r="U333" i="1"/>
  <c r="V333" i="1"/>
  <c r="W333" i="1"/>
  <c r="X333" i="1"/>
  <c r="T334" i="1"/>
  <c r="U334" i="1"/>
  <c r="V334" i="1"/>
  <c r="W334" i="1"/>
  <c r="X334" i="1"/>
  <c r="T335" i="1"/>
  <c r="U335" i="1"/>
  <c r="V335" i="1"/>
  <c r="W335" i="1"/>
  <c r="X335" i="1"/>
  <c r="T336" i="1"/>
  <c r="U336" i="1"/>
  <c r="V336" i="1"/>
  <c r="W336" i="1"/>
  <c r="X336" i="1"/>
  <c r="T337" i="1"/>
  <c r="U337" i="1"/>
  <c r="V337" i="1"/>
  <c r="W337" i="1"/>
  <c r="X337" i="1"/>
  <c r="T338" i="1"/>
  <c r="U338" i="1"/>
  <c r="V338" i="1"/>
  <c r="W338" i="1"/>
  <c r="X338" i="1"/>
  <c r="T339" i="1"/>
  <c r="U339" i="1"/>
  <c r="V339" i="1"/>
  <c r="W339" i="1"/>
  <c r="X339" i="1"/>
  <c r="T340" i="1"/>
  <c r="U340" i="1"/>
  <c r="V340" i="1"/>
  <c r="W340" i="1"/>
  <c r="X340" i="1"/>
  <c r="T341" i="1"/>
  <c r="U341" i="1"/>
  <c r="V341" i="1"/>
  <c r="W341" i="1"/>
  <c r="X341" i="1"/>
  <c r="T342" i="1"/>
  <c r="U342" i="1"/>
  <c r="V342" i="1"/>
  <c r="W342" i="1"/>
  <c r="X342" i="1"/>
  <c r="T343" i="1"/>
  <c r="U343" i="1"/>
  <c r="V343" i="1"/>
  <c r="W343" i="1"/>
  <c r="X343" i="1"/>
  <c r="T344" i="1"/>
  <c r="U344" i="1"/>
  <c r="V344" i="1"/>
  <c r="W344" i="1"/>
  <c r="X344" i="1"/>
  <c r="T345" i="1"/>
  <c r="U345" i="1"/>
  <c r="V345" i="1"/>
  <c r="W345" i="1"/>
  <c r="X345" i="1"/>
  <c r="T346" i="1"/>
  <c r="U346" i="1"/>
  <c r="V346" i="1"/>
  <c r="W346" i="1"/>
  <c r="X346" i="1"/>
  <c r="T347" i="1"/>
  <c r="U347" i="1"/>
  <c r="V347" i="1"/>
  <c r="W347" i="1"/>
  <c r="X347" i="1"/>
  <c r="T348" i="1"/>
  <c r="U348" i="1"/>
  <c r="V348" i="1"/>
  <c r="W348" i="1"/>
  <c r="X348" i="1"/>
  <c r="T349" i="1"/>
  <c r="U349" i="1"/>
  <c r="V349" i="1"/>
  <c r="W349" i="1"/>
  <c r="X349" i="1"/>
  <c r="T350" i="1"/>
  <c r="U350" i="1"/>
  <c r="V350" i="1"/>
  <c r="W350" i="1"/>
  <c r="X350" i="1"/>
  <c r="T351" i="1"/>
  <c r="U351" i="1"/>
  <c r="V351" i="1"/>
  <c r="W351" i="1"/>
  <c r="X351" i="1"/>
  <c r="T352" i="1"/>
  <c r="U352" i="1"/>
  <c r="V352" i="1"/>
  <c r="W352" i="1"/>
  <c r="X352" i="1"/>
  <c r="T353" i="1"/>
  <c r="U353" i="1"/>
  <c r="V353" i="1"/>
  <c r="W353" i="1"/>
  <c r="X353" i="1"/>
  <c r="T354" i="1"/>
  <c r="U354" i="1"/>
  <c r="V354" i="1"/>
  <c r="W354" i="1"/>
  <c r="X354" i="1"/>
  <c r="T355" i="1"/>
  <c r="U355" i="1"/>
  <c r="V355" i="1"/>
  <c r="W355" i="1"/>
  <c r="X355" i="1"/>
  <c r="T356" i="1"/>
  <c r="U356" i="1"/>
  <c r="V356" i="1"/>
  <c r="W356" i="1"/>
  <c r="X356" i="1"/>
  <c r="T357" i="1"/>
  <c r="U357" i="1"/>
  <c r="V357" i="1"/>
  <c r="W357" i="1"/>
  <c r="X357" i="1"/>
  <c r="T358" i="1"/>
  <c r="U358" i="1"/>
  <c r="V358" i="1"/>
  <c r="W358" i="1"/>
  <c r="X358" i="1"/>
  <c r="T359" i="1"/>
  <c r="U359" i="1"/>
  <c r="V359" i="1"/>
  <c r="W359" i="1"/>
  <c r="X359" i="1"/>
  <c r="T360" i="1"/>
  <c r="U360" i="1"/>
  <c r="V360" i="1"/>
  <c r="W360" i="1"/>
  <c r="X360" i="1"/>
  <c r="T361" i="1"/>
  <c r="U361" i="1"/>
  <c r="V361" i="1"/>
  <c r="W361" i="1"/>
  <c r="X361" i="1"/>
  <c r="T362" i="1"/>
  <c r="U362" i="1"/>
  <c r="V362" i="1"/>
  <c r="W362" i="1"/>
  <c r="X362" i="1"/>
  <c r="T363" i="1"/>
  <c r="U363" i="1"/>
  <c r="V363" i="1"/>
  <c r="W363" i="1"/>
  <c r="X363" i="1"/>
  <c r="T364" i="1"/>
  <c r="U364" i="1"/>
  <c r="V364" i="1"/>
  <c r="W364" i="1"/>
  <c r="X364" i="1"/>
  <c r="T365" i="1"/>
  <c r="U365" i="1"/>
  <c r="V365" i="1"/>
  <c r="W365" i="1"/>
  <c r="X365" i="1"/>
  <c r="T366" i="1"/>
  <c r="U366" i="1"/>
  <c r="V366" i="1"/>
  <c r="W366" i="1"/>
  <c r="X366" i="1"/>
  <c r="T367" i="1"/>
  <c r="U367" i="1"/>
  <c r="V367" i="1"/>
  <c r="W367" i="1"/>
  <c r="X367" i="1"/>
  <c r="T368" i="1"/>
  <c r="U368" i="1"/>
  <c r="V368" i="1"/>
  <c r="W368" i="1"/>
  <c r="X368" i="1"/>
  <c r="T369" i="1"/>
  <c r="U369" i="1"/>
  <c r="V369" i="1"/>
  <c r="W369" i="1"/>
  <c r="X369" i="1"/>
  <c r="T370" i="1"/>
  <c r="U370" i="1"/>
  <c r="V370" i="1"/>
  <c r="W370" i="1"/>
  <c r="X370" i="1"/>
  <c r="T371" i="1"/>
  <c r="U371" i="1"/>
  <c r="V371" i="1"/>
  <c r="W371" i="1"/>
  <c r="X371" i="1"/>
  <c r="T372" i="1"/>
  <c r="U372" i="1"/>
  <c r="V372" i="1"/>
  <c r="W372" i="1"/>
  <c r="X372" i="1"/>
  <c r="T373" i="1"/>
  <c r="U373" i="1"/>
  <c r="V373" i="1"/>
  <c r="W373" i="1"/>
  <c r="X373" i="1"/>
  <c r="T374" i="1"/>
  <c r="U374" i="1"/>
  <c r="V374" i="1"/>
  <c r="W374" i="1"/>
  <c r="X374" i="1"/>
  <c r="T375" i="1"/>
  <c r="U375" i="1"/>
  <c r="V375" i="1"/>
  <c r="W375" i="1"/>
  <c r="X375" i="1"/>
  <c r="T376" i="1"/>
  <c r="U376" i="1"/>
  <c r="V376" i="1"/>
  <c r="W376" i="1"/>
  <c r="X376" i="1"/>
  <c r="T377" i="1"/>
  <c r="U377" i="1"/>
  <c r="V377" i="1"/>
  <c r="W377" i="1"/>
  <c r="X377" i="1"/>
  <c r="T378" i="1"/>
  <c r="U378" i="1"/>
  <c r="V378" i="1"/>
  <c r="W378" i="1"/>
  <c r="X378" i="1"/>
  <c r="T379" i="1"/>
  <c r="U379" i="1"/>
  <c r="V379" i="1"/>
  <c r="W379" i="1"/>
  <c r="X379" i="1"/>
  <c r="T380" i="1"/>
  <c r="U380" i="1"/>
  <c r="V380" i="1"/>
  <c r="W380" i="1"/>
  <c r="X380" i="1"/>
  <c r="T381" i="1"/>
  <c r="U381" i="1"/>
  <c r="V381" i="1"/>
  <c r="W381" i="1"/>
  <c r="X381" i="1"/>
  <c r="T382" i="1"/>
  <c r="U382" i="1"/>
  <c r="V382" i="1"/>
  <c r="W382" i="1"/>
  <c r="X382" i="1"/>
  <c r="T383" i="1"/>
  <c r="U383" i="1"/>
  <c r="V383" i="1"/>
  <c r="W383" i="1"/>
  <c r="X383" i="1"/>
  <c r="T384" i="1"/>
  <c r="U384" i="1"/>
  <c r="V384" i="1"/>
  <c r="W384" i="1"/>
  <c r="X384" i="1"/>
  <c r="T385" i="1"/>
  <c r="U385" i="1"/>
  <c r="V385" i="1"/>
  <c r="W385" i="1"/>
  <c r="X385" i="1"/>
  <c r="T386" i="1"/>
  <c r="U386" i="1"/>
  <c r="V386" i="1"/>
  <c r="W386" i="1"/>
  <c r="X386" i="1"/>
  <c r="T387" i="1"/>
  <c r="U387" i="1"/>
  <c r="V387" i="1"/>
  <c r="W387" i="1"/>
  <c r="X387" i="1"/>
  <c r="T388" i="1"/>
  <c r="U388" i="1"/>
  <c r="V388" i="1"/>
  <c r="W388" i="1"/>
  <c r="X388" i="1"/>
  <c r="T389" i="1"/>
  <c r="U389" i="1"/>
  <c r="V389" i="1"/>
  <c r="W389" i="1"/>
  <c r="X389" i="1"/>
  <c r="T390" i="1"/>
  <c r="U390" i="1"/>
  <c r="V390" i="1"/>
  <c r="W390" i="1"/>
  <c r="X390" i="1"/>
  <c r="T391" i="1"/>
  <c r="U391" i="1"/>
  <c r="V391" i="1"/>
  <c r="W391" i="1"/>
  <c r="X391" i="1"/>
  <c r="T392" i="1"/>
  <c r="U392" i="1"/>
  <c r="V392" i="1"/>
  <c r="W392" i="1"/>
  <c r="X392" i="1"/>
  <c r="T393" i="1"/>
  <c r="U393" i="1"/>
  <c r="V393" i="1"/>
  <c r="W393" i="1"/>
  <c r="X393" i="1"/>
  <c r="T394" i="1"/>
  <c r="U394" i="1"/>
  <c r="V394" i="1"/>
  <c r="W394" i="1"/>
  <c r="X394" i="1"/>
  <c r="T395" i="1"/>
  <c r="U395" i="1"/>
  <c r="V395" i="1"/>
  <c r="W395" i="1"/>
  <c r="X395" i="1"/>
  <c r="T396" i="1"/>
  <c r="U396" i="1"/>
  <c r="V396" i="1"/>
  <c r="W396" i="1"/>
  <c r="X396" i="1"/>
  <c r="T397" i="1"/>
  <c r="U397" i="1"/>
  <c r="V397" i="1"/>
  <c r="W397" i="1"/>
  <c r="X397" i="1"/>
  <c r="T398" i="1"/>
  <c r="U398" i="1"/>
  <c r="V398" i="1"/>
  <c r="W398" i="1"/>
  <c r="X398" i="1"/>
  <c r="T399" i="1"/>
  <c r="U399" i="1"/>
  <c r="V399" i="1"/>
  <c r="W399" i="1"/>
  <c r="X399" i="1"/>
  <c r="T400" i="1"/>
  <c r="U400" i="1"/>
  <c r="V400" i="1"/>
  <c r="W400" i="1"/>
  <c r="X400" i="1"/>
  <c r="T401" i="1"/>
  <c r="U401" i="1"/>
  <c r="V401" i="1"/>
  <c r="W401" i="1"/>
  <c r="X401" i="1"/>
  <c r="T402" i="1"/>
  <c r="U402" i="1"/>
  <c r="V402" i="1"/>
  <c r="W402" i="1"/>
  <c r="X402" i="1"/>
  <c r="T403" i="1"/>
  <c r="U403" i="1"/>
  <c r="V403" i="1"/>
  <c r="W403" i="1"/>
  <c r="X403" i="1"/>
  <c r="T404" i="1"/>
  <c r="U404" i="1"/>
  <c r="V404" i="1"/>
  <c r="W404" i="1"/>
  <c r="X404" i="1"/>
  <c r="T405" i="1"/>
  <c r="U405" i="1"/>
  <c r="V405" i="1"/>
  <c r="W405" i="1"/>
  <c r="X405" i="1"/>
  <c r="T406" i="1"/>
  <c r="U406" i="1"/>
  <c r="V406" i="1"/>
  <c r="W406" i="1"/>
  <c r="X406" i="1"/>
  <c r="T407" i="1"/>
  <c r="U407" i="1"/>
  <c r="V407" i="1"/>
  <c r="W407" i="1"/>
  <c r="X407" i="1"/>
  <c r="T408" i="1"/>
  <c r="U408" i="1"/>
  <c r="V408" i="1"/>
  <c r="W408" i="1"/>
  <c r="X408" i="1"/>
  <c r="T409" i="1"/>
  <c r="U409" i="1"/>
  <c r="V409" i="1"/>
  <c r="W409" i="1"/>
  <c r="X409" i="1"/>
  <c r="T410" i="1"/>
  <c r="U410" i="1"/>
  <c r="V410" i="1"/>
  <c r="W410" i="1"/>
  <c r="X410" i="1"/>
  <c r="T411" i="1"/>
  <c r="U411" i="1"/>
  <c r="V411" i="1"/>
  <c r="W411" i="1"/>
  <c r="X411" i="1"/>
  <c r="T412" i="1"/>
  <c r="U412" i="1"/>
  <c r="V412" i="1"/>
  <c r="W412" i="1"/>
  <c r="X412" i="1"/>
  <c r="T413" i="1"/>
  <c r="U413" i="1"/>
  <c r="V413" i="1"/>
  <c r="W413" i="1"/>
  <c r="X413" i="1"/>
  <c r="T414" i="1"/>
  <c r="U414" i="1"/>
  <c r="V414" i="1"/>
  <c r="W414" i="1"/>
  <c r="X414" i="1"/>
  <c r="T415" i="1"/>
  <c r="U415" i="1"/>
  <c r="V415" i="1"/>
  <c r="W415" i="1"/>
  <c r="X415" i="1"/>
  <c r="T416" i="1"/>
  <c r="U416" i="1"/>
  <c r="V416" i="1"/>
  <c r="W416" i="1"/>
  <c r="X416" i="1"/>
  <c r="T417" i="1"/>
  <c r="U417" i="1"/>
  <c r="V417" i="1"/>
  <c r="W417" i="1"/>
  <c r="X417" i="1"/>
  <c r="T418" i="1"/>
  <c r="U418" i="1"/>
  <c r="V418" i="1"/>
  <c r="W418" i="1"/>
  <c r="X418" i="1"/>
  <c r="T419" i="1"/>
  <c r="U419" i="1"/>
  <c r="V419" i="1"/>
  <c r="W419" i="1"/>
  <c r="X419" i="1"/>
  <c r="T420" i="1"/>
  <c r="U420" i="1"/>
  <c r="V420" i="1"/>
  <c r="W420" i="1"/>
  <c r="X420" i="1"/>
  <c r="T421" i="1"/>
  <c r="U421" i="1"/>
  <c r="V421" i="1"/>
  <c r="W421" i="1"/>
  <c r="X421" i="1"/>
  <c r="T422" i="1"/>
  <c r="U422" i="1"/>
  <c r="V422" i="1"/>
  <c r="W422" i="1"/>
  <c r="X422" i="1"/>
  <c r="T423" i="1"/>
  <c r="U423" i="1"/>
  <c r="V423" i="1"/>
  <c r="W423" i="1"/>
  <c r="X423" i="1"/>
  <c r="T424" i="1"/>
  <c r="U424" i="1"/>
  <c r="V424" i="1"/>
  <c r="W424" i="1"/>
  <c r="X424" i="1"/>
  <c r="T425" i="1"/>
  <c r="U425" i="1"/>
  <c r="V425" i="1"/>
  <c r="W425" i="1"/>
  <c r="X425" i="1"/>
  <c r="T426" i="1"/>
  <c r="U426" i="1"/>
  <c r="V426" i="1"/>
  <c r="W426" i="1"/>
  <c r="X426" i="1"/>
  <c r="T427" i="1"/>
  <c r="U427" i="1"/>
  <c r="V427" i="1"/>
  <c r="W427" i="1"/>
  <c r="X427" i="1"/>
  <c r="T428" i="1"/>
  <c r="U428" i="1"/>
  <c r="V428" i="1"/>
  <c r="W428" i="1"/>
  <c r="X428" i="1"/>
  <c r="T429" i="1"/>
  <c r="U429" i="1"/>
  <c r="V429" i="1"/>
  <c r="W429" i="1"/>
  <c r="X429" i="1"/>
  <c r="T430" i="1"/>
  <c r="U430" i="1"/>
  <c r="V430" i="1"/>
  <c r="W430" i="1"/>
  <c r="X430" i="1"/>
  <c r="T431" i="1"/>
  <c r="U431" i="1"/>
  <c r="V431" i="1"/>
  <c r="W431" i="1"/>
  <c r="X431" i="1"/>
  <c r="T432" i="1"/>
  <c r="U432" i="1"/>
  <c r="V432" i="1"/>
  <c r="W432" i="1"/>
  <c r="X432" i="1"/>
  <c r="T433" i="1"/>
  <c r="U433" i="1"/>
  <c r="V433" i="1"/>
  <c r="W433" i="1"/>
  <c r="X433" i="1"/>
  <c r="T434" i="1"/>
  <c r="U434" i="1"/>
  <c r="V434" i="1"/>
  <c r="W434" i="1"/>
  <c r="X434" i="1"/>
  <c r="T435" i="1"/>
  <c r="U435" i="1"/>
  <c r="V435" i="1"/>
  <c r="W435" i="1"/>
  <c r="X435" i="1"/>
  <c r="T436" i="1"/>
  <c r="U436" i="1"/>
  <c r="V436" i="1"/>
  <c r="W436" i="1"/>
  <c r="X436" i="1"/>
  <c r="T437" i="1"/>
  <c r="U437" i="1"/>
  <c r="V437" i="1"/>
  <c r="W437" i="1"/>
  <c r="X437" i="1"/>
  <c r="T438" i="1"/>
  <c r="U438" i="1"/>
  <c r="V438" i="1"/>
  <c r="W438" i="1"/>
  <c r="X438" i="1"/>
  <c r="T439" i="1"/>
  <c r="U439" i="1"/>
  <c r="V439" i="1"/>
  <c r="W439" i="1"/>
  <c r="X439" i="1"/>
  <c r="T440" i="1"/>
  <c r="U440" i="1"/>
  <c r="V440" i="1"/>
  <c r="W440" i="1"/>
  <c r="X440" i="1"/>
  <c r="T441" i="1"/>
  <c r="U441" i="1"/>
  <c r="V441" i="1"/>
  <c r="W441" i="1"/>
  <c r="X441" i="1"/>
  <c r="T442" i="1"/>
  <c r="U442" i="1"/>
  <c r="V442" i="1"/>
  <c r="W442" i="1"/>
  <c r="X442" i="1"/>
  <c r="T443" i="1"/>
  <c r="U443" i="1"/>
  <c r="V443" i="1"/>
  <c r="W443" i="1"/>
  <c r="X443" i="1"/>
  <c r="T444" i="1"/>
  <c r="U444" i="1"/>
  <c r="V444" i="1"/>
  <c r="W444" i="1"/>
  <c r="X444" i="1"/>
  <c r="T445" i="1"/>
  <c r="U445" i="1"/>
  <c r="V445" i="1"/>
  <c r="W445" i="1"/>
  <c r="X445" i="1"/>
  <c r="T446" i="1"/>
  <c r="U446" i="1"/>
  <c r="V446" i="1"/>
  <c r="W446" i="1"/>
  <c r="X446" i="1"/>
  <c r="T447" i="1"/>
  <c r="U447" i="1"/>
  <c r="V447" i="1"/>
  <c r="W447" i="1"/>
  <c r="X447" i="1"/>
  <c r="T448" i="1"/>
  <c r="U448" i="1"/>
  <c r="V448" i="1"/>
  <c r="W448" i="1"/>
  <c r="X448" i="1"/>
  <c r="T449" i="1"/>
  <c r="U449" i="1"/>
  <c r="V449" i="1"/>
  <c r="W449" i="1"/>
  <c r="X449" i="1"/>
  <c r="T450" i="1"/>
  <c r="U450" i="1"/>
  <c r="V450" i="1"/>
  <c r="W450" i="1"/>
  <c r="X450" i="1"/>
  <c r="T451" i="1"/>
  <c r="U451" i="1"/>
  <c r="V451" i="1"/>
  <c r="W451" i="1"/>
  <c r="X451" i="1"/>
  <c r="T452" i="1"/>
  <c r="U452" i="1"/>
  <c r="V452" i="1"/>
  <c r="W452" i="1"/>
  <c r="X452" i="1"/>
  <c r="T453" i="1"/>
  <c r="U453" i="1"/>
  <c r="V453" i="1"/>
  <c r="W453" i="1"/>
  <c r="X453" i="1"/>
  <c r="T454" i="1"/>
  <c r="U454" i="1"/>
  <c r="V454" i="1"/>
  <c r="W454" i="1"/>
  <c r="X454" i="1"/>
  <c r="T455" i="1"/>
  <c r="U455" i="1"/>
  <c r="V455" i="1"/>
  <c r="W455" i="1"/>
  <c r="X455" i="1"/>
  <c r="T456" i="1"/>
  <c r="U456" i="1"/>
  <c r="V456" i="1"/>
  <c r="W456" i="1"/>
  <c r="X456" i="1"/>
  <c r="T457" i="1"/>
  <c r="U457" i="1"/>
  <c r="V457" i="1"/>
  <c r="W457" i="1"/>
  <c r="X457" i="1"/>
  <c r="T458" i="1"/>
  <c r="U458" i="1"/>
  <c r="V458" i="1"/>
  <c r="W458" i="1"/>
  <c r="X458" i="1"/>
  <c r="T459" i="1"/>
  <c r="U459" i="1"/>
  <c r="V459" i="1"/>
  <c r="W459" i="1"/>
  <c r="X459" i="1"/>
  <c r="T460" i="1"/>
  <c r="U460" i="1"/>
  <c r="V460" i="1"/>
  <c r="W460" i="1"/>
  <c r="X460" i="1"/>
  <c r="T461" i="1"/>
  <c r="U461" i="1"/>
  <c r="V461" i="1"/>
  <c r="W461" i="1"/>
  <c r="X461" i="1"/>
  <c r="T462" i="1"/>
  <c r="U462" i="1"/>
  <c r="V462" i="1"/>
  <c r="W462" i="1"/>
  <c r="X462" i="1"/>
  <c r="T463" i="1"/>
  <c r="U463" i="1"/>
  <c r="V463" i="1"/>
  <c r="W463" i="1"/>
  <c r="X463" i="1"/>
  <c r="T464" i="1"/>
  <c r="U464" i="1"/>
  <c r="V464" i="1"/>
  <c r="W464" i="1"/>
  <c r="X464" i="1"/>
  <c r="T465" i="1"/>
  <c r="U465" i="1"/>
  <c r="V465" i="1"/>
  <c r="W465" i="1"/>
  <c r="X465" i="1"/>
  <c r="T466" i="1"/>
  <c r="U466" i="1"/>
  <c r="V466" i="1"/>
  <c r="W466" i="1"/>
  <c r="X466" i="1"/>
  <c r="T467" i="1"/>
  <c r="U467" i="1"/>
  <c r="V467" i="1"/>
  <c r="W467" i="1"/>
  <c r="X467" i="1"/>
  <c r="T468" i="1"/>
  <c r="U468" i="1"/>
  <c r="V468" i="1"/>
  <c r="W468" i="1"/>
  <c r="X468" i="1"/>
  <c r="T469" i="1"/>
  <c r="U469" i="1"/>
  <c r="V469" i="1"/>
  <c r="W469" i="1"/>
  <c r="X469" i="1"/>
  <c r="T470" i="1"/>
  <c r="U470" i="1"/>
  <c r="V470" i="1"/>
  <c r="W470" i="1"/>
  <c r="X470" i="1"/>
  <c r="T471" i="1"/>
  <c r="U471" i="1"/>
  <c r="V471" i="1"/>
  <c r="W471" i="1"/>
  <c r="X471" i="1"/>
  <c r="T472" i="1"/>
  <c r="U472" i="1"/>
  <c r="V472" i="1"/>
  <c r="W472" i="1"/>
  <c r="X472" i="1"/>
  <c r="T473" i="1"/>
  <c r="U473" i="1"/>
  <c r="V473" i="1"/>
  <c r="W473" i="1"/>
  <c r="X473" i="1"/>
  <c r="T474" i="1"/>
  <c r="U474" i="1"/>
  <c r="V474" i="1"/>
  <c r="W474" i="1"/>
  <c r="X474" i="1"/>
  <c r="T475" i="1"/>
  <c r="U475" i="1"/>
  <c r="V475" i="1"/>
  <c r="W475" i="1"/>
  <c r="X475" i="1"/>
  <c r="T476" i="1"/>
  <c r="U476" i="1"/>
  <c r="V476" i="1"/>
  <c r="W476" i="1"/>
  <c r="X476" i="1"/>
  <c r="T477" i="1"/>
  <c r="U477" i="1"/>
  <c r="V477" i="1"/>
  <c r="W477" i="1"/>
  <c r="X477" i="1"/>
  <c r="T478" i="1"/>
  <c r="U478" i="1"/>
  <c r="V478" i="1"/>
  <c r="W478" i="1"/>
  <c r="X478" i="1"/>
  <c r="T479" i="1"/>
  <c r="U479" i="1"/>
  <c r="V479" i="1"/>
  <c r="W479" i="1"/>
  <c r="X479" i="1"/>
  <c r="T480" i="1"/>
  <c r="U480" i="1"/>
  <c r="V480" i="1"/>
  <c r="W480" i="1"/>
  <c r="X480" i="1"/>
  <c r="T481" i="1"/>
  <c r="U481" i="1"/>
  <c r="V481" i="1"/>
  <c r="W481" i="1"/>
  <c r="X481" i="1"/>
  <c r="T482" i="1"/>
  <c r="U482" i="1"/>
  <c r="V482" i="1"/>
  <c r="W482" i="1"/>
  <c r="X482" i="1"/>
  <c r="T483" i="1"/>
  <c r="U483" i="1"/>
  <c r="V483" i="1"/>
  <c r="W483" i="1"/>
  <c r="X483" i="1"/>
  <c r="T484" i="1"/>
  <c r="U484" i="1"/>
  <c r="V484" i="1"/>
  <c r="W484" i="1"/>
  <c r="X484" i="1"/>
  <c r="T485" i="1"/>
  <c r="U485" i="1"/>
  <c r="V485" i="1"/>
  <c r="W485" i="1"/>
  <c r="X485" i="1"/>
  <c r="T486" i="1"/>
  <c r="U486" i="1"/>
  <c r="V486" i="1"/>
  <c r="W486" i="1"/>
  <c r="X486" i="1"/>
  <c r="T487" i="1"/>
  <c r="U487" i="1"/>
  <c r="V487" i="1"/>
  <c r="W487" i="1"/>
  <c r="X487" i="1"/>
  <c r="T488" i="1"/>
  <c r="U488" i="1"/>
  <c r="V488" i="1"/>
  <c r="W488" i="1"/>
  <c r="X488" i="1"/>
  <c r="T489" i="1"/>
  <c r="U489" i="1"/>
  <c r="V489" i="1"/>
  <c r="W489" i="1"/>
  <c r="X489" i="1"/>
  <c r="T490" i="1"/>
  <c r="U490" i="1"/>
  <c r="V490" i="1"/>
  <c r="W490" i="1"/>
  <c r="X490" i="1"/>
  <c r="T491" i="1"/>
  <c r="U491" i="1"/>
  <c r="V491" i="1"/>
  <c r="W491" i="1"/>
  <c r="X491" i="1"/>
  <c r="T492" i="1"/>
  <c r="U492" i="1"/>
  <c r="V492" i="1"/>
  <c r="W492" i="1"/>
  <c r="X492" i="1"/>
  <c r="T493" i="1"/>
  <c r="U493" i="1"/>
  <c r="V493" i="1"/>
  <c r="W493" i="1"/>
  <c r="X493" i="1"/>
  <c r="T494" i="1"/>
  <c r="U494" i="1"/>
  <c r="V494" i="1"/>
  <c r="W494" i="1"/>
  <c r="X494" i="1"/>
  <c r="T495" i="1"/>
  <c r="U495" i="1"/>
  <c r="V495" i="1"/>
  <c r="W495" i="1"/>
  <c r="X495" i="1"/>
  <c r="T496" i="1"/>
  <c r="U496" i="1"/>
  <c r="V496" i="1"/>
  <c r="W496" i="1"/>
  <c r="X496" i="1"/>
  <c r="T497" i="1"/>
  <c r="U497" i="1"/>
  <c r="V497" i="1"/>
  <c r="W497" i="1"/>
  <c r="X497" i="1"/>
  <c r="T498" i="1"/>
  <c r="U498" i="1"/>
  <c r="V498" i="1"/>
  <c r="W498" i="1"/>
  <c r="X498" i="1"/>
  <c r="T5" i="1"/>
  <c r="U5" i="1"/>
  <c r="V5" i="1"/>
  <c r="W5" i="1"/>
  <c r="X5" i="1"/>
  <c r="T6" i="1"/>
  <c r="U6" i="1"/>
  <c r="V6" i="1"/>
  <c r="W6" i="1"/>
  <c r="X6" i="1"/>
  <c r="T7" i="1"/>
  <c r="U7" i="1"/>
  <c r="V7" i="1"/>
  <c r="W7" i="1"/>
  <c r="X7" i="1"/>
  <c r="T8" i="1"/>
  <c r="U8" i="1"/>
  <c r="V8" i="1"/>
  <c r="W8" i="1"/>
  <c r="X8" i="1"/>
  <c r="T9" i="1"/>
  <c r="U9" i="1"/>
  <c r="V9" i="1"/>
  <c r="W9" i="1"/>
  <c r="X9" i="1"/>
  <c r="T10" i="1"/>
  <c r="U10" i="1"/>
  <c r="V10" i="1"/>
  <c r="W10" i="1"/>
  <c r="X10" i="1"/>
  <c r="T11" i="1"/>
  <c r="U11" i="1"/>
  <c r="V11" i="1"/>
  <c r="W11" i="1"/>
  <c r="X11" i="1"/>
  <c r="T12" i="1"/>
  <c r="U12" i="1"/>
  <c r="V12" i="1"/>
  <c r="W12" i="1"/>
  <c r="X12" i="1"/>
  <c r="T13" i="1"/>
  <c r="U13" i="1"/>
  <c r="V13" i="1"/>
  <c r="W13" i="1"/>
  <c r="X13" i="1"/>
  <c r="T14" i="1"/>
  <c r="U14" i="1"/>
  <c r="V14" i="1"/>
  <c r="W14" i="1"/>
  <c r="X14" i="1"/>
  <c r="T15" i="1"/>
  <c r="U15" i="1"/>
  <c r="V15" i="1"/>
  <c r="W15" i="1"/>
  <c r="X15" i="1"/>
  <c r="T16" i="1"/>
  <c r="U16" i="1"/>
  <c r="V16" i="1"/>
  <c r="W16" i="1"/>
  <c r="X16" i="1"/>
  <c r="T17" i="1"/>
  <c r="U17" i="1"/>
  <c r="V17" i="1"/>
  <c r="W17" i="1"/>
  <c r="X17" i="1"/>
  <c r="T18" i="1"/>
  <c r="U18" i="1"/>
  <c r="V18" i="1"/>
  <c r="W18" i="1"/>
  <c r="X18" i="1"/>
  <c r="T19" i="1"/>
  <c r="U19" i="1"/>
  <c r="V19" i="1"/>
  <c r="W19" i="1"/>
  <c r="X19" i="1"/>
  <c r="T20" i="1"/>
  <c r="U20" i="1"/>
  <c r="V20" i="1"/>
  <c r="W20" i="1"/>
  <c r="X20" i="1"/>
  <c r="T21" i="1"/>
  <c r="U21" i="1"/>
  <c r="V21" i="1"/>
  <c r="W21" i="1"/>
  <c r="X21" i="1"/>
  <c r="U2" i="1"/>
  <c r="V2" i="1"/>
  <c r="W2" i="1"/>
  <c r="X2" i="1"/>
  <c r="T3" i="1"/>
  <c r="U3" i="1"/>
  <c r="V3" i="1"/>
  <c r="W3" i="1"/>
  <c r="X3" i="1"/>
  <c r="T4" i="1"/>
  <c r="U4" i="1"/>
  <c r="V4" i="1"/>
  <c r="W4" i="1"/>
  <c r="X4" i="1"/>
</calcChain>
</file>

<file path=xl/sharedStrings.xml><?xml version="1.0" encoding="utf-8"?>
<sst xmlns="http://schemas.openxmlformats.org/spreadsheetml/2006/main" count="1520" uniqueCount="341">
  <si>
    <t>2024-05-21</t>
  </si>
  <si>
    <t>2024-05-17</t>
  </si>
  <si>
    <t>2024-05-16</t>
  </si>
  <si>
    <t>2024-05-15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</si>
  <si>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</si>
  <si>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</si>
  <si>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</si>
  <si>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</si>
  <si>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</si>
  <si>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</si>
  <si>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</si>
  <si>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</si>
  <si>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</si>
  <si>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</si>
  <si>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</si>
  <si>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</si>
  <si>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2024-04-17</t>
  </si>
  <si>
    <t>2024-04-15</t>
  </si>
  <si>
    <t>2024-04-12</t>
  </si>
  <si>
    <t>2024-04-11</t>
  </si>
  <si>
    <t>2024-04-09</t>
  </si>
  <si>
    <t>Michael McCaul</t>
  </si>
  <si>
    <t>GE.US</t>
  </si>
  <si>
    <t>NFLX.US</t>
  </si>
  <si>
    <t>SAFRY.US</t>
  </si>
  <si>
    <t>TPR.US</t>
  </si>
  <si>
    <t>QQQ.US</t>
  </si>
  <si>
    <t>VOO.US</t>
  </si>
  <si>
    <t>VTI.US</t>
  </si>
  <si>
    <t>Marjorie Taylor Greene</t>
  </si>
  <si>
    <t>AMD.US</t>
  </si>
  <si>
    <t>Chuck Fleischmann</t>
  </si>
  <si>
    <t>FLJP.US</t>
  </si>
  <si>
    <t>XMHQ.US</t>
  </si>
  <si>
    <t>SHY.US</t>
  </si>
  <si>
    <t>IGSB.US</t>
  </si>
  <si>
    <t>HYBB.US</t>
  </si>
  <si>
    <t>CALF.US</t>
  </si>
  <si>
    <t>MDYV.US</t>
  </si>
  <si>
    <t>GLDM.US</t>
  </si>
  <si>
    <t>Shri Thanedar</t>
  </si>
  <si>
    <t>GOOGL.US</t>
  </si>
  <si>
    <t>AAPL.US</t>
  </si>
  <si>
    <t>MSFT.US</t>
  </si>
  <si>
    <t>Mikie Sherrill</t>
  </si>
  <si>
    <t>UBS.US</t>
  </si>
  <si>
    <t>Josh Gottheimer</t>
  </si>
  <si>
    <t>ADC.US</t>
  </si>
  <si>
    <t>CHGCY.US</t>
  </si>
  <si>
    <t>CTSH.US</t>
  </si>
  <si>
    <t>FICO.US</t>
  </si>
  <si>
    <t>SHLS.US</t>
  </si>
  <si>
    <t>SHOP.US</t>
  </si>
  <si>
    <t>TCEHY.US</t>
  </si>
  <si>
    <t>TEX.US</t>
  </si>
  <si>
    <t>TSLA.US</t>
  </si>
  <si>
    <t>UBER.US</t>
  </si>
  <si>
    <t>VRT.US</t>
  </si>
  <si>
    <t>WDAY.US</t>
  </si>
  <si>
    <t>Doug Lamborn</t>
  </si>
  <si>
    <t>NTAP.US</t>
  </si>
  <si>
    <t>Tommy Tuberville</t>
  </si>
  <si>
    <t>WBA.US</t>
  </si>
  <si>
    <t>PYPL.US</t>
  </si>
  <si>
    <t>SBLK.US</t>
  </si>
  <si>
    <t>SSBK.US</t>
  </si>
  <si>
    <t>OXY.US</t>
  </si>
  <si>
    <t>NVDA.US</t>
  </si>
  <si>
    <t>KEY.US</t>
  </si>
  <si>
    <t>GOGL.US</t>
  </si>
  <si>
    <t>XOM.US</t>
  </si>
  <si>
    <t>CVX.US</t>
  </si>
  <si>
    <t>HUMA.US</t>
  </si>
  <si>
    <t>LSCC.US</t>
  </si>
  <si>
    <t>CCL.US</t>
  </si>
  <si>
    <t>QCOM.US</t>
  </si>
  <si>
    <t>SWKS.US</t>
  </si>
  <si>
    <t>MMM.US</t>
  </si>
  <si>
    <t>ODFL.US</t>
  </si>
  <si>
    <t>LULU.US</t>
  </si>
  <si>
    <t>AMAT.US</t>
  </si>
  <si>
    <t>SSD.US</t>
  </si>
  <si>
    <t>ROK.US</t>
  </si>
  <si>
    <t>REGN.US</t>
  </si>
  <si>
    <t>PHM.US</t>
  </si>
  <si>
    <t>PAYC.US</t>
  </si>
  <si>
    <t>KEYS.US</t>
  </si>
  <si>
    <t>IEX.US</t>
  </si>
  <si>
    <t>EXR.US</t>
  </si>
  <si>
    <t>BMY.US</t>
  </si>
  <si>
    <t>AVGO.US</t>
  </si>
  <si>
    <t>Mark Green</t>
  </si>
  <si>
    <t>NGL.US</t>
  </si>
  <si>
    <t>Lois Frankel</t>
  </si>
  <si>
    <t>JCI.US</t>
  </si>
  <si>
    <t>Shelley Moore Capito</t>
  </si>
  <si>
    <t>JPM.US</t>
  </si>
  <si>
    <t>SPGI.US</t>
  </si>
  <si>
    <t>Hal Rogers</t>
  </si>
  <si>
    <t>BBTBX.US</t>
  </si>
  <si>
    <t>VEA.US</t>
  </si>
  <si>
    <t>VUG.US</t>
  </si>
  <si>
    <t>Kevin Hern</t>
  </si>
  <si>
    <t>INRE.US</t>
  </si>
  <si>
    <t>TD.US</t>
  </si>
  <si>
    <t>Lindsey Graham</t>
  </si>
  <si>
    <t>VIG.US</t>
  </si>
  <si>
    <t>USFR.US</t>
  </si>
  <si>
    <t>John Boozman</t>
  </si>
  <si>
    <t>HES.US</t>
  </si>
  <si>
    <t>SCHP.US</t>
  </si>
  <si>
    <t>IEF.US</t>
  </si>
  <si>
    <t>TLH.US</t>
  </si>
  <si>
    <t>TLT.US</t>
  </si>
  <si>
    <t>Ro Khanna</t>
  </si>
  <si>
    <t>SBAC.US</t>
  </si>
  <si>
    <t>UPS.US</t>
  </si>
  <si>
    <t>SBUX.US</t>
  </si>
  <si>
    <t>ABT.US</t>
  </si>
  <si>
    <t>TXN.US</t>
  </si>
  <si>
    <t>IWD.US</t>
  </si>
  <si>
    <t>LLY.US</t>
  </si>
  <si>
    <t>APTV.US</t>
  </si>
  <si>
    <t>MLM.US</t>
  </si>
  <si>
    <t>LIN.US</t>
  </si>
  <si>
    <t>MMC.US</t>
  </si>
  <si>
    <t>PH.US</t>
  </si>
  <si>
    <t>SYK.US</t>
  </si>
  <si>
    <t>NDAQ.US</t>
  </si>
  <si>
    <t>MU.US</t>
  </si>
  <si>
    <t>GM.US</t>
  </si>
  <si>
    <t>GLW.US</t>
  </si>
  <si>
    <t>PM.US</t>
  </si>
  <si>
    <t>NKE.US</t>
  </si>
  <si>
    <t>ZTS.US</t>
  </si>
  <si>
    <t>UNH.US</t>
  </si>
  <si>
    <t>TJX.US</t>
  </si>
  <si>
    <t>CHTR.US</t>
  </si>
  <si>
    <t>MA.US</t>
  </si>
  <si>
    <t>CSCO.US</t>
  </si>
  <si>
    <t>BIIB.US</t>
  </si>
  <si>
    <t>TFX.US</t>
  </si>
  <si>
    <t>GEV.US</t>
  </si>
  <si>
    <t>AON.US</t>
  </si>
  <si>
    <t>ADI.US</t>
  </si>
  <si>
    <t>COR.US</t>
  </si>
  <si>
    <t>KMB.US</t>
  </si>
  <si>
    <t>WMT.US</t>
  </si>
  <si>
    <t>CARR.US</t>
  </si>
  <si>
    <t>UDR.US</t>
  </si>
  <si>
    <t>PSA.US</t>
  </si>
  <si>
    <t>HPQ.US</t>
  </si>
  <si>
    <t>AFL.US</t>
  </si>
  <si>
    <t>WAB.US</t>
  </si>
  <si>
    <t>GPC.US</t>
  </si>
  <si>
    <t>PFG.US</t>
  </si>
  <si>
    <t>FI.US</t>
  </si>
  <si>
    <t>LEN.US</t>
  </si>
  <si>
    <t>CCI.US</t>
  </si>
  <si>
    <t>TRV.US</t>
  </si>
  <si>
    <t>HUM.US</t>
  </si>
  <si>
    <t>MKTX.US</t>
  </si>
  <si>
    <t>ENPH.US</t>
  </si>
  <si>
    <t>CVS.US</t>
  </si>
  <si>
    <t>ROP.US</t>
  </si>
  <si>
    <t>REG.US</t>
  </si>
  <si>
    <t>BWA.US</t>
  </si>
  <si>
    <t>EQR.US</t>
  </si>
  <si>
    <t>PPG.US</t>
  </si>
  <si>
    <t>VTRS.US</t>
  </si>
  <si>
    <t>VZ.US</t>
  </si>
  <si>
    <t>MNST.US</t>
  </si>
  <si>
    <t>KVUE.US</t>
  </si>
  <si>
    <t>HSY.US</t>
  </si>
  <si>
    <t>DE.US</t>
  </si>
  <si>
    <t>ADM.US</t>
  </si>
  <si>
    <t>VRSN.US</t>
  </si>
  <si>
    <t>ANET.US</t>
  </si>
  <si>
    <t>ROST.US</t>
  </si>
  <si>
    <t>INCY.US</t>
  </si>
  <si>
    <t>ALL.US</t>
  </si>
  <si>
    <t>KMX.US</t>
  </si>
  <si>
    <t>VFC.US</t>
  </si>
  <si>
    <t>EFX.US</t>
  </si>
  <si>
    <t>TECH.US</t>
  </si>
  <si>
    <t>KIM.US</t>
  </si>
  <si>
    <t>WM.US</t>
  </si>
  <si>
    <t>RHI.US</t>
  </si>
  <si>
    <t>SEE.US</t>
  </si>
  <si>
    <t>STE.US</t>
  </si>
  <si>
    <t>LYB.US</t>
  </si>
  <si>
    <t>VTR.US</t>
  </si>
  <si>
    <t>ELS.US</t>
  </si>
  <si>
    <t>PG.US</t>
  </si>
  <si>
    <t>CMCSA.US</t>
  </si>
  <si>
    <t>NOW.US</t>
  </si>
  <si>
    <t>INTC.US</t>
  </si>
  <si>
    <t>MS.US</t>
  </si>
  <si>
    <t>FDX.US</t>
  </si>
  <si>
    <t>EQIX.US</t>
  </si>
  <si>
    <t>AZO.US</t>
  </si>
  <si>
    <t>CMG.US</t>
  </si>
  <si>
    <t>PFE.US</t>
  </si>
  <si>
    <t>TMO.US</t>
  </si>
  <si>
    <t>ANSS.US</t>
  </si>
  <si>
    <t>ECL.US</t>
  </si>
  <si>
    <t>TYL.US</t>
  </si>
  <si>
    <t>NVR.US</t>
  </si>
  <si>
    <t>NEM.US</t>
  </si>
  <si>
    <t>SNPS.US</t>
  </si>
  <si>
    <t>IQV.US</t>
  </si>
  <si>
    <t>PLD.US</t>
  </si>
  <si>
    <t>MCHP.US</t>
  </si>
  <si>
    <t>APD.US</t>
  </si>
  <si>
    <t>LOW.US</t>
  </si>
  <si>
    <t>VLTO.US</t>
  </si>
  <si>
    <t>WELL.US</t>
  </si>
  <si>
    <t>GIS.US</t>
  </si>
  <si>
    <t>BAC.US</t>
  </si>
  <si>
    <t>KR.US</t>
  </si>
  <si>
    <t>VICI.US</t>
  </si>
  <si>
    <t>BBY.US</t>
  </si>
  <si>
    <t>FSLR.US</t>
  </si>
  <si>
    <t>MGM.US</t>
  </si>
  <si>
    <t>JNPR.US</t>
  </si>
  <si>
    <t>VRSK.US</t>
  </si>
  <si>
    <t>NXPI.US</t>
  </si>
  <si>
    <t>LRCX.US</t>
  </si>
  <si>
    <t>CLX.US</t>
  </si>
  <si>
    <t>CPRT.US</t>
  </si>
  <si>
    <t>JBL.US</t>
  </si>
  <si>
    <t>BK.US</t>
  </si>
  <si>
    <t>BNS.US</t>
  </si>
  <si>
    <t>MUFG.US</t>
  </si>
  <si>
    <t>AL.US</t>
  </si>
  <si>
    <t>Jonathan Jackson</t>
  </si>
  <si>
    <t>COP.US</t>
  </si>
  <si>
    <t>HXL.US</t>
  </si>
  <si>
    <t>Virginia Foxx</t>
  </si>
  <si>
    <t>EFC.US</t>
  </si>
  <si>
    <t>Earl Blumenauer</t>
  </si>
  <si>
    <t>BX.US</t>
  </si>
  <si>
    <t>CAT.US</t>
  </si>
  <si>
    <t>DGX.US</t>
  </si>
  <si>
    <t>RTX.US</t>
  </si>
  <si>
    <t>SO.US</t>
  </si>
  <si>
    <t>TEL.US</t>
  </si>
  <si>
    <t>GS.US</t>
  </si>
  <si>
    <t>V.US</t>
  </si>
  <si>
    <t>WFC.US</t>
  </si>
  <si>
    <t>Bill Keating</t>
  </si>
  <si>
    <t>Michael Burgess</t>
  </si>
  <si>
    <t>IBM.US</t>
  </si>
  <si>
    <t>MRK.US</t>
  </si>
  <si>
    <t>HD.US</t>
  </si>
  <si>
    <t>IEMG.US</t>
  </si>
  <si>
    <t>IXUS.US</t>
  </si>
  <si>
    <t>IVV.US</t>
  </si>
  <si>
    <t>IUSG.US</t>
  </si>
  <si>
    <t>SCHX.US</t>
  </si>
  <si>
    <t>VO.US</t>
  </si>
  <si>
    <t>Markwayne Mullin</t>
  </si>
  <si>
    <t>Tom Carper</t>
  </si>
  <si>
    <t>VLO.US</t>
  </si>
  <si>
    <t>Dan Newhouse</t>
  </si>
  <si>
    <t>BKNG.US</t>
  </si>
  <si>
    <t>CSX.US</t>
  </si>
  <si>
    <t>DHR.US</t>
  </si>
  <si>
    <t>EL.US</t>
  </si>
  <si>
    <t>NI.US</t>
  </si>
  <si>
    <t>PEP.US</t>
  </si>
  <si>
    <t>CRM.US</t>
  </si>
  <si>
    <t>DIS.US</t>
  </si>
  <si>
    <t>Sheldon Whitehouse</t>
  </si>
  <si>
    <t>UL.US</t>
  </si>
  <si>
    <t>Ted Cruz</t>
  </si>
  <si>
    <t>Scott Franklin</t>
  </si>
  <si>
    <t>BWIN.US</t>
  </si>
  <si>
    <t>EAGL.US</t>
  </si>
  <si>
    <t>VMFXX.US</t>
  </si>
  <si>
    <t>META.US</t>
  </si>
  <si>
    <t>ADBE.US</t>
  </si>
  <si>
    <t>ELV.US</t>
  </si>
  <si>
    <t>COF.US</t>
  </si>
  <si>
    <t>MAR.US</t>
  </si>
  <si>
    <t>HLT.US</t>
  </si>
  <si>
    <t>SAP.US</t>
  </si>
  <si>
    <t>TSM.US</t>
  </si>
  <si>
    <t>SHEL.US</t>
  </si>
  <si>
    <t>AMZN.US</t>
  </si>
  <si>
    <t>WWD.US</t>
  </si>
  <si>
    <t>D.US</t>
  </si>
  <si>
    <t>VWLUX.US</t>
  </si>
  <si>
    <t>Angus King</t>
  </si>
  <si>
    <t>PARA.US</t>
  </si>
  <si>
    <t>RYCEY.US</t>
  </si>
  <si>
    <t>DVN.US</t>
  </si>
  <si>
    <t>JNJ.US</t>
  </si>
  <si>
    <t>Chip Roy</t>
  </si>
  <si>
    <t>T.US</t>
  </si>
  <si>
    <t>AESI.US</t>
  </si>
  <si>
    <t>ET.US</t>
  </si>
  <si>
    <t>KMI.US</t>
  </si>
  <si>
    <t>John Hickenlooper</t>
  </si>
  <si>
    <t>FWONK.US</t>
  </si>
  <si>
    <t>Rick Larsen</t>
  </si>
  <si>
    <t>LEA.US</t>
  </si>
  <si>
    <t>ISRG.US</t>
  </si>
  <si>
    <t>ACN.US</t>
  </si>
  <si>
    <t>KKR.US</t>
  </si>
  <si>
    <t>AXP.US</t>
  </si>
  <si>
    <t>MDLZ.US</t>
  </si>
  <si>
    <t>KDP.US</t>
  </si>
  <si>
    <t>MPWR.US</t>
  </si>
  <si>
    <t>PANW.US</t>
  </si>
  <si>
    <t>IDXX.US</t>
  </si>
  <si>
    <t>LVS.US</t>
  </si>
  <si>
    <t>WHR.US</t>
  </si>
  <si>
    <t>FDS.US</t>
  </si>
  <si>
    <t>ON.US</t>
  </si>
  <si>
    <t>COST.US</t>
  </si>
  <si>
    <t>cena kupna</t>
  </si>
  <si>
    <t>sprz RF</t>
  </si>
  <si>
    <t>sprz LGBM</t>
  </si>
  <si>
    <t>sprz 200</t>
  </si>
  <si>
    <t>sprz 400</t>
  </si>
  <si>
    <t>sprz 600</t>
  </si>
  <si>
    <t>profit % RF</t>
  </si>
  <si>
    <t>profit % LGBM</t>
  </si>
  <si>
    <t>profit % 200</t>
  </si>
  <si>
    <t>profit % 400</t>
  </si>
  <si>
    <t>profit % 600</t>
  </si>
  <si>
    <t>profit przy kupowanie wszystkeigo za 1000</t>
  </si>
  <si>
    <t>RF</t>
  </si>
  <si>
    <t>LGBM</t>
  </si>
  <si>
    <t>LSTM 200</t>
  </si>
  <si>
    <t>LSTM 400</t>
  </si>
  <si>
    <t>LSTM 600</t>
  </si>
  <si>
    <t>Profit</t>
  </si>
  <si>
    <t>nr of trades</t>
  </si>
  <si>
    <t>%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</si>
</sst>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4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3" xfId="0" applyBorder="1"/>
    <xf numFmtId="0" fontId="0" fillId="0" borderId="17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1"/>
  <sheetViews>
    <sheetView tabSelected="1" topLeftCell="L388" zoomScale="115" zoomScaleNormal="115" workbookViewId="0">
      <selection activeCell="W409" sqref="W409"/>
    </sheetView>
  </sheetViews>
  <sheetFormatPr defaultRowHeight="15" x14ac:dyDescent="0.25"/>
  <cols>
    <col min="1" max="1" width="22.28515625" customWidth="1"/>
    <col min="2" max="2" width="10.28515625" customWidth="1"/>
    <col min="3" max="3" width="10.5703125" style="1" customWidth="1"/>
    <col min="6" max="6" width="8.5703125" customWidth="1"/>
    <col min="7" max="7" width="10" customWidth="1"/>
    <col min="8" max="8" width="9.28515625" customWidth="1"/>
    <col min="9" max="9" width="12.85546875" style="1" customWidth="1"/>
    <col min="10" max="10" width="12.7109375" style="1" customWidth="1"/>
    <col min="11" max="11" width="11.140625" style="1" customWidth="1"/>
    <col min="12" max="12" width="11.42578125" style="1" customWidth="1"/>
    <col min="13" max="13" width="11" style="1" customWidth="1"/>
    <col min="14" max="14" width="14.5703125" customWidth="1"/>
    <col min="16" max="16" width="12.85546875" customWidth="1"/>
    <col min="20" max="20" width="10.85546875" customWidth="1"/>
    <col min="21" max="21" width="13.85546875" customWidth="1"/>
    <col min="22" max="22" width="12.28515625" customWidth="1"/>
    <col min="23" max="23" width="11.85546875" customWidth="1"/>
    <col min="24" max="24" width="12.42578125" customWidth="1"/>
    <col min="27" max="27" width="10.42578125" style="1" bestFit="1" customWidth="1"/>
    <col min="28" max="28" width="12.7109375" style="1" customWidth="1"/>
    <col min="29" max="29" width="11.140625" style="1" customWidth="1"/>
    <col min="30" max="30" width="11.42578125" style="1" customWidth="1"/>
    <col min="31" max="31" width="11" style="1" customWidth="1"/>
  </cols>
  <sheetData>
    <row r="1" spans="1:29" ht="15.75" thickBot="1" x14ac:dyDescent="0.3">
      <c r="A1" t="s">
        <v>21</v>
      </c>
      <c r="B1" t="s">
        <v>23</v>
      </c>
      <c r="C1" s="1" t="s">
        <v>0</v>
      </c>
      <c r="D1">
        <v>0</v>
      </c>
      <c r="E1">
        <v>0</v>
      </c>
      <c r="F1">
        <v>0</v>
      </c>
      <c r="G1">
        <v>0</v>
      </c>
      <c r="H1">
        <v>0</v>
      </c>
      <c r="I1" s="1">
        <v>45433</v>
      </c>
      <c r="J1" s="1">
        <v>45433</v>
      </c>
      <c r="K1" s="1">
        <v>45433</v>
      </c>
      <c r="L1" s="1">
        <v>45433</v>
      </c>
      <c r="M1" s="1">
        <v>45433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328</v>
      </c>
      <c r="V1" t="s">
        <v>329</v>
      </c>
      <c r="W1" t="s">
        <v>330</v>
      </c>
      <c r="X1" t="s">
        <v>331</v>
      </c>
      <c r="Y1" t="s">
        <v>332</v>
      </c>
    </row>
    <row r="2" spans="1:29" x14ac:dyDescent="0.25">
      <c r="A2" t="s">
        <v>21</v>
      </c>
      <c r="B2" t="s">
        <v>22</v>
      </c>
      <c r="C2" s="1" t="s">
        <v>0</v>
      </c>
      <c r="D2">
        <v>4</v>
      </c>
      <c r="E2">
        <v>4</v>
      </c>
      <c r="F2">
        <v>0</v>
      </c>
      <c r="G2">
        <v>0</v>
      </c>
      <c r="H2">
        <v>0</v>
      </c>
      <c r="I2" s="1">
        <v>45437</v>
      </c>
      <c r="J2" s="1">
        <v>45437</v>
      </c>
      <c r="K2" s="1">
        <v>45433</v>
      </c>
      <c r="L2" s="1">
        <v>45433</v>
      </c>
      <c r="M2" s="1">
        <v>45433</v>
      </c>
      <c r="N2" s="2">
        <v>156.89194851410309</v>
      </c>
      <c r="O2" s="3">
        <v>164.72960381738349</v>
      </c>
      <c r="P2" s="3">
        <v>164.72960381738349</v>
      </c>
      <c r="Q2" s="3"/>
      <c r="R2" s="3"/>
      <c r="S2" s="4"/>
      <c r="T2" s="2">
        <f>IF((ISBLANK(O2)),0,((O2/$N2)-1)*100)</f>
        <v>4.9955752207232473</v>
      </c>
      <c r="U2" s="3">
        <f t="shared" ref="U2:U65" si="0">IF((ISBLANK(P2)),0,((P2/$N2)-1)*100)</f>
        <v>4.9955752207232473</v>
      </c>
      <c r="V2" s="3">
        <f t="shared" ref="V2:V65" si="1">IF((ISBLANK(Q2)),0,((Q2/$N2)-1)*100)</f>
        <v>0</v>
      </c>
      <c r="W2" s="3">
        <f t="shared" ref="W2:W65" si="2">IF((ISBLANK(R2)),0,((R2/$N2)-1)*100)</f>
        <v>0</v>
      </c>
      <c r="X2" s="4">
        <f t="shared" ref="X2:X65" si="3">IF((ISBLANK(S2)),0,((S2/$N2)-1)*100)</f>
        <v>0</v>
      </c>
      <c r="Y2" s="2">
        <f>1000 * T2/100</f>
        <v>49.955752207232472</v>
      </c>
      <c r="Z2" s="3">
        <f t="shared" ref="Z2:AC2" si="4">1000 * U2/100</f>
        <v>49.955752207232472</v>
      </c>
      <c r="AA2" s="3">
        <f t="shared" si="4"/>
        <v>0</v>
      </c>
      <c r="AB2" s="3">
        <f t="shared" si="4"/>
        <v>0</v>
      </c>
      <c r="AC2" s="4">
        <f t="shared" si="4"/>
        <v>0</v>
      </c>
    </row>
    <row r="3" spans="1:29" x14ac:dyDescent="0.25">
      <c r="A3" t="s">
        <v>21</v>
      </c>
      <c r="B3" t="s">
        <v>24</v>
      </c>
      <c r="C3" s="1" t="s">
        <v>0</v>
      </c>
      <c r="D3">
        <v>0</v>
      </c>
      <c r="E3">
        <v>0</v>
      </c>
      <c r="F3">
        <v>0</v>
      </c>
      <c r="G3">
        <v>0</v>
      </c>
      <c r="H3">
        <v>0</v>
      </c>
      <c r="I3" s="1">
        <v>45433</v>
      </c>
      <c r="J3" s="1">
        <v>45433</v>
      </c>
      <c r="K3" s="1">
        <v>45433</v>
      </c>
      <c r="L3" s="1">
        <v>45433</v>
      </c>
      <c r="M3" s="1">
        <v>45433</v>
      </c>
      <c r="N3" s="5"/>
      <c r="S3" s="6"/>
      <c r="T3" s="5">
        <f t="shared" ref="T2:T65" si="5">IF((ISBLANK(O3)),0,((O3/$N3)-1)*100)</f>
        <v>0</v>
      </c>
      <c r="U3" s="10">
        <f t="shared" si="0"/>
        <v>0</v>
      </c>
      <c r="V3" s="10">
        <f t="shared" si="1"/>
        <v>0</v>
      </c>
      <c r="W3" s="10">
        <f t="shared" si="2"/>
        <v>0</v>
      </c>
      <c r="X3" s="6">
        <f t="shared" si="3"/>
        <v>0</v>
      </c>
      <c r="Y3" s="5">
        <f t="shared" ref="Y3:Y66" si="6">1000 * T3/100</f>
        <v>0</v>
      </c>
      <c r="Z3" s="10">
        <f t="shared" ref="Z3:Z66" si="7">1000 * U3/100</f>
        <v>0</v>
      </c>
      <c r="AA3" s="10">
        <f t="shared" ref="AA3:AA66" si="8">1000 * V3/100</f>
        <v>0</v>
      </c>
      <c r="AB3" s="10">
        <f t="shared" ref="AB3:AB66" si="9">1000 * W3/100</f>
        <v>0</v>
      </c>
      <c r="AC3" s="6">
        <f t="shared" ref="AC3:AC66" si="10">1000 * X3/100</f>
        <v>0</v>
      </c>
    </row>
    <row r="4" spans="1:29" x14ac:dyDescent="0.25">
      <c r="A4" t="s">
        <v>21</v>
      </c>
      <c r="B4" t="s">
        <v>22</v>
      </c>
      <c r="C4" s="1" t="s">
        <v>0</v>
      </c>
      <c r="D4">
        <v>4</v>
      </c>
      <c r="E4">
        <v>4</v>
      </c>
      <c r="F4">
        <v>0</v>
      </c>
      <c r="G4">
        <v>0</v>
      </c>
      <c r="H4">
        <v>0</v>
      </c>
      <c r="I4" s="1">
        <v>45437</v>
      </c>
      <c r="J4" s="1">
        <v>45437</v>
      </c>
      <c r="K4" s="1">
        <v>45433</v>
      </c>
      <c r="L4" s="1">
        <v>45433</v>
      </c>
      <c r="M4" s="1">
        <v>45433</v>
      </c>
      <c r="N4" s="5">
        <v>156.89194851410309</v>
      </c>
      <c r="O4">
        <v>164.72960381738349</v>
      </c>
      <c r="P4">
        <v>164.72960381738349</v>
      </c>
      <c r="S4" s="6"/>
      <c r="T4" s="5">
        <f t="shared" si="5"/>
        <v>4.9955752207232473</v>
      </c>
      <c r="U4" s="10">
        <f t="shared" si="0"/>
        <v>4.9955752207232473</v>
      </c>
      <c r="V4" s="10">
        <f t="shared" si="1"/>
        <v>0</v>
      </c>
      <c r="W4" s="10">
        <f t="shared" si="2"/>
        <v>0</v>
      </c>
      <c r="X4" s="6">
        <f t="shared" si="3"/>
        <v>0</v>
      </c>
      <c r="Y4" s="5">
        <f t="shared" si="6"/>
        <v>49.955752207232472</v>
      </c>
      <c r="Z4" s="10">
        <f t="shared" si="7"/>
        <v>49.955752207232472</v>
      </c>
      <c r="AA4" s="10">
        <f t="shared" si="8"/>
        <v>0</v>
      </c>
      <c r="AB4" s="10">
        <f t="shared" si="9"/>
        <v>0</v>
      </c>
      <c r="AC4" s="6">
        <f t="shared" si="10"/>
        <v>0</v>
      </c>
    </row>
    <row r="5" spans="1:29" x14ac:dyDescent="0.25">
      <c r="A5" t="s">
        <v>21</v>
      </c>
      <c r="B5" t="s">
        <v>25</v>
      </c>
      <c r="C5" s="1" t="s">
        <v>0</v>
      </c>
      <c r="D5">
        <v>35</v>
      </c>
      <c r="E5">
        <v>35</v>
      </c>
      <c r="F5">
        <v>0</v>
      </c>
      <c r="G5">
        <v>0</v>
      </c>
      <c r="H5">
        <v>0</v>
      </c>
      <c r="I5" s="1">
        <v>45468</v>
      </c>
      <c r="J5" s="1">
        <v>45468</v>
      </c>
      <c r="K5" s="1">
        <v>45433</v>
      </c>
      <c r="L5" s="1">
        <v>45433</v>
      </c>
      <c r="M5" s="1">
        <v>45433</v>
      </c>
      <c r="N5" s="5">
        <v>40.9769337157595</v>
      </c>
      <c r="O5">
        <v>40.849497543247608</v>
      </c>
      <c r="P5">
        <v>40.849497543247608</v>
      </c>
      <c r="S5" s="6"/>
      <c r="T5" s="5">
        <f t="shared" si="5"/>
        <v>-0.31099489628937382</v>
      </c>
      <c r="U5" s="10">
        <f t="shared" si="0"/>
        <v>-0.31099489628937382</v>
      </c>
      <c r="V5" s="10">
        <f t="shared" si="1"/>
        <v>0</v>
      </c>
      <c r="W5" s="10">
        <f t="shared" si="2"/>
        <v>0</v>
      </c>
      <c r="X5" s="6">
        <f t="shared" si="3"/>
        <v>0</v>
      </c>
      <c r="Y5" s="5">
        <f t="shared" si="6"/>
        <v>-3.1099489628937378</v>
      </c>
      <c r="Z5" s="10">
        <f t="shared" si="7"/>
        <v>-3.1099489628937378</v>
      </c>
      <c r="AA5" s="10">
        <f t="shared" si="8"/>
        <v>0</v>
      </c>
      <c r="AB5" s="10">
        <f t="shared" si="9"/>
        <v>0</v>
      </c>
      <c r="AC5" s="6">
        <f t="shared" si="10"/>
        <v>0</v>
      </c>
    </row>
    <row r="6" spans="1:29" x14ac:dyDescent="0.25">
      <c r="A6" t="s">
        <v>21</v>
      </c>
      <c r="B6" t="s">
        <v>26</v>
      </c>
      <c r="C6" s="1" t="s">
        <v>0</v>
      </c>
      <c r="D6">
        <v>34</v>
      </c>
      <c r="E6">
        <v>34</v>
      </c>
      <c r="F6">
        <v>0</v>
      </c>
      <c r="G6">
        <v>0</v>
      </c>
      <c r="H6">
        <v>0</v>
      </c>
      <c r="I6" s="1">
        <v>45467</v>
      </c>
      <c r="J6" s="1">
        <v>45467</v>
      </c>
      <c r="K6" s="1">
        <v>45433</v>
      </c>
      <c r="L6" s="1">
        <v>45433</v>
      </c>
      <c r="M6" s="1">
        <v>45433</v>
      </c>
      <c r="N6" s="5">
        <v>450.287672135994</v>
      </c>
      <c r="O6">
        <v>478.26666058520578</v>
      </c>
      <c r="P6">
        <v>478.26666058520578</v>
      </c>
      <c r="S6" s="6"/>
      <c r="T6" s="5">
        <f t="shared" si="5"/>
        <v>6.2135808241185142</v>
      </c>
      <c r="U6" s="10">
        <f t="shared" si="0"/>
        <v>6.2135808241185142</v>
      </c>
      <c r="V6" s="10">
        <f t="shared" si="1"/>
        <v>0</v>
      </c>
      <c r="W6" s="10">
        <f t="shared" si="2"/>
        <v>0</v>
      </c>
      <c r="X6" s="6">
        <f t="shared" si="3"/>
        <v>0</v>
      </c>
      <c r="Y6" s="5">
        <f t="shared" si="6"/>
        <v>62.135808241185138</v>
      </c>
      <c r="Z6" s="10">
        <f t="shared" si="7"/>
        <v>62.135808241185138</v>
      </c>
      <c r="AA6" s="10">
        <f t="shared" si="8"/>
        <v>0</v>
      </c>
      <c r="AB6" s="10">
        <f t="shared" si="9"/>
        <v>0</v>
      </c>
      <c r="AC6" s="6">
        <f t="shared" si="10"/>
        <v>0</v>
      </c>
    </row>
    <row r="7" spans="1:29" x14ac:dyDescent="0.25">
      <c r="A7" t="s">
        <v>21</v>
      </c>
      <c r="B7" t="s">
        <v>27</v>
      </c>
      <c r="C7" s="1" t="s">
        <v>0</v>
      </c>
      <c r="D7">
        <v>37</v>
      </c>
      <c r="E7">
        <v>37</v>
      </c>
      <c r="F7">
        <v>0</v>
      </c>
      <c r="G7">
        <v>0</v>
      </c>
      <c r="H7">
        <v>0</v>
      </c>
      <c r="I7" s="1">
        <v>45470</v>
      </c>
      <c r="J7" s="1">
        <v>45470</v>
      </c>
      <c r="K7" s="1">
        <v>45433</v>
      </c>
      <c r="L7" s="1">
        <v>45433</v>
      </c>
      <c r="M7" s="1">
        <v>45433</v>
      </c>
      <c r="N7" s="5">
        <v>480.09503571635048</v>
      </c>
      <c r="O7">
        <v>494.83744622020208</v>
      </c>
      <c r="P7">
        <v>494.83744622020208</v>
      </c>
      <c r="S7" s="6"/>
      <c r="T7" s="5">
        <f t="shared" si="5"/>
        <v>3.0707275449858518</v>
      </c>
      <c r="U7" s="10">
        <f t="shared" si="0"/>
        <v>3.0707275449858518</v>
      </c>
      <c r="V7" s="10">
        <f t="shared" si="1"/>
        <v>0</v>
      </c>
      <c r="W7" s="10">
        <f t="shared" si="2"/>
        <v>0</v>
      </c>
      <c r="X7" s="6">
        <f t="shared" si="3"/>
        <v>0</v>
      </c>
      <c r="Y7" s="5">
        <f t="shared" si="6"/>
        <v>30.707275449858518</v>
      </c>
      <c r="Z7" s="10">
        <f t="shared" si="7"/>
        <v>30.707275449858518</v>
      </c>
      <c r="AA7" s="10">
        <f t="shared" si="8"/>
        <v>0</v>
      </c>
      <c r="AB7" s="10">
        <f t="shared" si="9"/>
        <v>0</v>
      </c>
      <c r="AC7" s="6">
        <f t="shared" si="10"/>
        <v>0</v>
      </c>
    </row>
    <row r="8" spans="1:29" x14ac:dyDescent="0.25">
      <c r="A8" t="s">
        <v>21</v>
      </c>
      <c r="B8" t="s">
        <v>28</v>
      </c>
      <c r="C8" s="1" t="s">
        <v>0</v>
      </c>
      <c r="D8">
        <v>37</v>
      </c>
      <c r="E8">
        <v>37</v>
      </c>
      <c r="F8">
        <v>0</v>
      </c>
      <c r="G8">
        <v>0</v>
      </c>
      <c r="H8">
        <v>0</v>
      </c>
      <c r="I8" s="1">
        <v>45470</v>
      </c>
      <c r="J8" s="1">
        <v>45470</v>
      </c>
      <c r="K8" s="1">
        <v>45433</v>
      </c>
      <c r="L8" s="1">
        <v>45433</v>
      </c>
      <c r="M8" s="1">
        <v>45433</v>
      </c>
      <c r="N8" s="5">
        <v>258.72449475073068</v>
      </c>
      <c r="O8">
        <v>264.4279405048045</v>
      </c>
      <c r="P8">
        <v>264.4279405048045</v>
      </c>
      <c r="S8" s="6"/>
      <c r="T8" s="5">
        <f t="shared" si="5"/>
        <v>2.2044475377442696</v>
      </c>
      <c r="U8" s="10">
        <f t="shared" si="0"/>
        <v>2.2044475377442696</v>
      </c>
      <c r="V8" s="10">
        <f t="shared" si="1"/>
        <v>0</v>
      </c>
      <c r="W8" s="10">
        <f t="shared" si="2"/>
        <v>0</v>
      </c>
      <c r="X8" s="6">
        <f t="shared" si="3"/>
        <v>0</v>
      </c>
      <c r="Y8" s="5">
        <f t="shared" si="6"/>
        <v>22.044475377442694</v>
      </c>
      <c r="Z8" s="10">
        <f t="shared" si="7"/>
        <v>22.044475377442694</v>
      </c>
      <c r="AA8" s="10">
        <f t="shared" si="8"/>
        <v>0</v>
      </c>
      <c r="AB8" s="10">
        <f t="shared" si="9"/>
        <v>0</v>
      </c>
      <c r="AC8" s="6">
        <f t="shared" si="10"/>
        <v>0</v>
      </c>
    </row>
    <row r="9" spans="1:29" x14ac:dyDescent="0.25">
      <c r="A9" t="s">
        <v>21</v>
      </c>
      <c r="B9" t="s">
        <v>28</v>
      </c>
      <c r="C9" s="1" t="s">
        <v>0</v>
      </c>
      <c r="D9">
        <v>37</v>
      </c>
      <c r="E9">
        <v>37</v>
      </c>
      <c r="F9">
        <v>0</v>
      </c>
      <c r="G9">
        <v>0</v>
      </c>
      <c r="H9">
        <v>0</v>
      </c>
      <c r="I9" s="1">
        <v>45470</v>
      </c>
      <c r="J9" s="1">
        <v>45470</v>
      </c>
      <c r="K9" s="1">
        <v>45433</v>
      </c>
      <c r="L9" s="1">
        <v>45433</v>
      </c>
      <c r="M9" s="1">
        <v>45433</v>
      </c>
      <c r="N9" s="5">
        <v>258.72449475073068</v>
      </c>
      <c r="O9">
        <v>264.4279405048045</v>
      </c>
      <c r="P9">
        <v>264.4279405048045</v>
      </c>
      <c r="S9" s="6"/>
      <c r="T9" s="5">
        <f t="shared" si="5"/>
        <v>2.2044475377442696</v>
      </c>
      <c r="U9" s="10">
        <f t="shared" si="0"/>
        <v>2.2044475377442696</v>
      </c>
      <c r="V9" s="10">
        <f t="shared" si="1"/>
        <v>0</v>
      </c>
      <c r="W9" s="10">
        <f t="shared" si="2"/>
        <v>0</v>
      </c>
      <c r="X9" s="6">
        <f t="shared" si="3"/>
        <v>0</v>
      </c>
      <c r="Y9" s="5">
        <f t="shared" si="6"/>
        <v>22.044475377442694</v>
      </c>
      <c r="Z9" s="10">
        <f t="shared" si="7"/>
        <v>22.044475377442694</v>
      </c>
      <c r="AA9" s="10">
        <f t="shared" si="8"/>
        <v>0</v>
      </c>
      <c r="AB9" s="10">
        <f t="shared" si="9"/>
        <v>0</v>
      </c>
      <c r="AC9" s="6">
        <f t="shared" si="10"/>
        <v>0</v>
      </c>
    </row>
    <row r="10" spans="1:29" x14ac:dyDescent="0.25">
      <c r="A10" t="s">
        <v>29</v>
      </c>
      <c r="B10" t="s">
        <v>30</v>
      </c>
      <c r="C10" s="1" t="s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45433</v>
      </c>
      <c r="J10" s="1">
        <v>45433</v>
      </c>
      <c r="K10" s="1">
        <v>45433</v>
      </c>
      <c r="L10" s="1">
        <v>45433</v>
      </c>
      <c r="M10" s="1">
        <v>45433</v>
      </c>
      <c r="N10" s="5"/>
      <c r="S10" s="6"/>
      <c r="T10" s="5">
        <f t="shared" si="5"/>
        <v>0</v>
      </c>
      <c r="U10" s="10">
        <f t="shared" si="0"/>
        <v>0</v>
      </c>
      <c r="V10" s="10">
        <f t="shared" si="1"/>
        <v>0</v>
      </c>
      <c r="W10" s="10">
        <f t="shared" si="2"/>
        <v>0</v>
      </c>
      <c r="X10" s="6">
        <f t="shared" si="3"/>
        <v>0</v>
      </c>
      <c r="Y10" s="5">
        <f t="shared" si="6"/>
        <v>0</v>
      </c>
      <c r="Z10" s="10">
        <f t="shared" si="7"/>
        <v>0</v>
      </c>
      <c r="AA10" s="10">
        <f t="shared" si="8"/>
        <v>0</v>
      </c>
      <c r="AB10" s="10">
        <f t="shared" si="9"/>
        <v>0</v>
      </c>
      <c r="AC10" s="6">
        <f t="shared" si="10"/>
        <v>0</v>
      </c>
    </row>
    <row r="11" spans="1:29" x14ac:dyDescent="0.25">
      <c r="A11" t="s">
        <v>31</v>
      </c>
      <c r="B11" t="s">
        <v>32</v>
      </c>
      <c r="C11" s="1" t="s">
        <v>1</v>
      </c>
      <c r="D11">
        <v>0</v>
      </c>
      <c r="E11">
        <v>0</v>
      </c>
      <c r="F11">
        <v>0</v>
      </c>
      <c r="G11">
        <v>0</v>
      </c>
      <c r="H11">
        <v>0</v>
      </c>
      <c r="I11" s="1">
        <v>45429</v>
      </c>
      <c r="J11" s="1">
        <v>45429</v>
      </c>
      <c r="K11" s="1">
        <v>45429</v>
      </c>
      <c r="L11" s="1">
        <v>45429</v>
      </c>
      <c r="M11" s="1">
        <v>45429</v>
      </c>
      <c r="N11" s="5"/>
      <c r="S11" s="6"/>
      <c r="T11" s="5">
        <f t="shared" si="5"/>
        <v>0</v>
      </c>
      <c r="U11" s="10">
        <f t="shared" si="0"/>
        <v>0</v>
      </c>
      <c r="V11" s="10">
        <f t="shared" si="1"/>
        <v>0</v>
      </c>
      <c r="W11" s="10">
        <f t="shared" si="2"/>
        <v>0</v>
      </c>
      <c r="X11" s="6">
        <f t="shared" si="3"/>
        <v>0</v>
      </c>
      <c r="Y11" s="5">
        <f t="shared" si="6"/>
        <v>0</v>
      </c>
      <c r="Z11" s="10">
        <f t="shared" si="7"/>
        <v>0</v>
      </c>
      <c r="AA11" s="10">
        <f t="shared" si="8"/>
        <v>0</v>
      </c>
      <c r="AB11" s="10">
        <f t="shared" si="9"/>
        <v>0</v>
      </c>
      <c r="AC11" s="6">
        <f t="shared" si="10"/>
        <v>0</v>
      </c>
    </row>
    <row r="12" spans="1:29" x14ac:dyDescent="0.25">
      <c r="A12" t="s">
        <v>31</v>
      </c>
      <c r="B12" t="s">
        <v>33</v>
      </c>
      <c r="C12" s="1" t="s">
        <v>1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45429</v>
      </c>
      <c r="J12" s="1">
        <v>45429</v>
      </c>
      <c r="K12" s="1">
        <v>45429</v>
      </c>
      <c r="L12" s="1">
        <v>45429</v>
      </c>
      <c r="M12" s="1">
        <v>45429</v>
      </c>
      <c r="N12" s="5"/>
      <c r="S12" s="6"/>
      <c r="T12" s="5">
        <f t="shared" si="5"/>
        <v>0</v>
      </c>
      <c r="U12" s="10">
        <f t="shared" si="0"/>
        <v>0</v>
      </c>
      <c r="V12" s="10">
        <f t="shared" si="1"/>
        <v>0</v>
      </c>
      <c r="W12" s="10">
        <f t="shared" si="2"/>
        <v>0</v>
      </c>
      <c r="X12" s="6">
        <f t="shared" si="3"/>
        <v>0</v>
      </c>
      <c r="Y12" s="5">
        <f t="shared" si="6"/>
        <v>0</v>
      </c>
      <c r="Z12" s="10">
        <f t="shared" si="7"/>
        <v>0</v>
      </c>
      <c r="AA12" s="10">
        <f t="shared" si="8"/>
        <v>0</v>
      </c>
      <c r="AB12" s="10">
        <f t="shared" si="9"/>
        <v>0</v>
      </c>
      <c r="AC12" s="6">
        <f t="shared" si="10"/>
        <v>0</v>
      </c>
    </row>
    <row r="13" spans="1:29" x14ac:dyDescent="0.25">
      <c r="A13" t="s">
        <v>31</v>
      </c>
      <c r="B13" t="s">
        <v>34</v>
      </c>
      <c r="C13" s="1" t="s">
        <v>1</v>
      </c>
      <c r="D13">
        <v>0</v>
      </c>
      <c r="E13">
        <v>0</v>
      </c>
      <c r="F13">
        <v>0</v>
      </c>
      <c r="G13">
        <v>0</v>
      </c>
      <c r="H13">
        <v>0</v>
      </c>
      <c r="I13" s="1">
        <v>45429</v>
      </c>
      <c r="J13" s="1">
        <v>45429</v>
      </c>
      <c r="K13" s="1">
        <v>45429</v>
      </c>
      <c r="L13" s="1">
        <v>45429</v>
      </c>
      <c r="M13" s="1">
        <v>45429</v>
      </c>
      <c r="N13" s="5"/>
      <c r="S13" s="6"/>
      <c r="T13" s="5">
        <f t="shared" si="5"/>
        <v>0</v>
      </c>
      <c r="U13" s="10">
        <f t="shared" si="0"/>
        <v>0</v>
      </c>
      <c r="V13" s="10">
        <f t="shared" si="1"/>
        <v>0</v>
      </c>
      <c r="W13" s="10">
        <f t="shared" si="2"/>
        <v>0</v>
      </c>
      <c r="X13" s="6">
        <f t="shared" si="3"/>
        <v>0</v>
      </c>
      <c r="Y13" s="5">
        <f t="shared" si="6"/>
        <v>0</v>
      </c>
      <c r="Z13" s="10">
        <f t="shared" si="7"/>
        <v>0</v>
      </c>
      <c r="AA13" s="10">
        <f t="shared" si="8"/>
        <v>0</v>
      </c>
      <c r="AB13" s="10">
        <f t="shared" si="9"/>
        <v>0</v>
      </c>
      <c r="AC13" s="6">
        <f t="shared" si="10"/>
        <v>0</v>
      </c>
    </row>
    <row r="14" spans="1:29" x14ac:dyDescent="0.25">
      <c r="A14" t="s">
        <v>31</v>
      </c>
      <c r="B14" t="s">
        <v>35</v>
      </c>
      <c r="C14" s="1" t="s">
        <v>1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45429</v>
      </c>
      <c r="J14" s="1">
        <v>45429</v>
      </c>
      <c r="K14" s="1">
        <v>45429</v>
      </c>
      <c r="L14" s="1">
        <v>45429</v>
      </c>
      <c r="M14" s="1">
        <v>45429</v>
      </c>
      <c r="N14" s="5"/>
      <c r="S14" s="6"/>
      <c r="T14" s="5">
        <f t="shared" si="5"/>
        <v>0</v>
      </c>
      <c r="U14" s="10">
        <f t="shared" si="0"/>
        <v>0</v>
      </c>
      <c r="V14" s="10">
        <f t="shared" si="1"/>
        <v>0</v>
      </c>
      <c r="W14" s="10">
        <f t="shared" si="2"/>
        <v>0</v>
      </c>
      <c r="X14" s="6">
        <f t="shared" si="3"/>
        <v>0</v>
      </c>
      <c r="Y14" s="5">
        <f t="shared" si="6"/>
        <v>0</v>
      </c>
      <c r="Z14" s="10">
        <f t="shared" si="7"/>
        <v>0</v>
      </c>
      <c r="AA14" s="10">
        <f t="shared" si="8"/>
        <v>0</v>
      </c>
      <c r="AB14" s="10">
        <f t="shared" si="9"/>
        <v>0</v>
      </c>
      <c r="AC14" s="6">
        <f t="shared" si="10"/>
        <v>0</v>
      </c>
    </row>
    <row r="15" spans="1:29" x14ac:dyDescent="0.25">
      <c r="A15" t="s">
        <v>31</v>
      </c>
      <c r="B15" t="s">
        <v>36</v>
      </c>
      <c r="C15" s="1" t="s">
        <v>1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45429</v>
      </c>
      <c r="J15" s="1">
        <v>45429</v>
      </c>
      <c r="K15" s="1">
        <v>45429</v>
      </c>
      <c r="L15" s="1">
        <v>45429</v>
      </c>
      <c r="M15" s="1">
        <v>45429</v>
      </c>
      <c r="N15" s="5"/>
      <c r="S15" s="6"/>
      <c r="T15" s="5">
        <f t="shared" si="5"/>
        <v>0</v>
      </c>
      <c r="U15" s="10">
        <f t="shared" si="0"/>
        <v>0</v>
      </c>
      <c r="V15" s="10">
        <f t="shared" si="1"/>
        <v>0</v>
      </c>
      <c r="W15" s="10">
        <f t="shared" si="2"/>
        <v>0</v>
      </c>
      <c r="X15" s="6">
        <f t="shared" si="3"/>
        <v>0</v>
      </c>
      <c r="Y15" s="5">
        <f t="shared" si="6"/>
        <v>0</v>
      </c>
      <c r="Z15" s="10">
        <f t="shared" si="7"/>
        <v>0</v>
      </c>
      <c r="AA15" s="10">
        <f t="shared" si="8"/>
        <v>0</v>
      </c>
      <c r="AB15" s="10">
        <f t="shared" si="9"/>
        <v>0</v>
      </c>
      <c r="AC15" s="6">
        <f t="shared" si="10"/>
        <v>0</v>
      </c>
    </row>
    <row r="16" spans="1:29" x14ac:dyDescent="0.25">
      <c r="A16" t="s">
        <v>31</v>
      </c>
      <c r="B16" t="s">
        <v>37</v>
      </c>
      <c r="C16" s="1" t="s">
        <v>1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45429</v>
      </c>
      <c r="J16" s="1">
        <v>45429</v>
      </c>
      <c r="K16" s="1">
        <v>45429</v>
      </c>
      <c r="L16" s="1">
        <v>45429</v>
      </c>
      <c r="M16" s="1">
        <v>45429</v>
      </c>
      <c r="N16" s="5"/>
      <c r="S16" s="6"/>
      <c r="T16" s="5">
        <f t="shared" si="5"/>
        <v>0</v>
      </c>
      <c r="U16" s="10">
        <f t="shared" si="0"/>
        <v>0</v>
      </c>
      <c r="V16" s="10">
        <f t="shared" si="1"/>
        <v>0</v>
      </c>
      <c r="W16" s="10">
        <f t="shared" si="2"/>
        <v>0</v>
      </c>
      <c r="X16" s="6">
        <f t="shared" si="3"/>
        <v>0</v>
      </c>
      <c r="Y16" s="5">
        <f t="shared" si="6"/>
        <v>0</v>
      </c>
      <c r="Z16" s="10">
        <f t="shared" si="7"/>
        <v>0</v>
      </c>
      <c r="AA16" s="10">
        <f t="shared" si="8"/>
        <v>0</v>
      </c>
      <c r="AB16" s="10">
        <f t="shared" si="9"/>
        <v>0</v>
      </c>
      <c r="AC16" s="6">
        <f t="shared" si="10"/>
        <v>0</v>
      </c>
    </row>
    <row r="17" spans="1:29" x14ac:dyDescent="0.25">
      <c r="A17" t="s">
        <v>31</v>
      </c>
      <c r="B17" t="s">
        <v>38</v>
      </c>
      <c r="C17" s="1" t="s">
        <v>1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45429</v>
      </c>
      <c r="J17" s="1">
        <v>45429</v>
      </c>
      <c r="K17" s="1">
        <v>45429</v>
      </c>
      <c r="L17" s="1">
        <v>45429</v>
      </c>
      <c r="M17" s="1">
        <v>45429</v>
      </c>
      <c r="N17" s="5"/>
      <c r="S17" s="6"/>
      <c r="T17" s="5">
        <f t="shared" si="5"/>
        <v>0</v>
      </c>
      <c r="U17" s="10">
        <f t="shared" si="0"/>
        <v>0</v>
      </c>
      <c r="V17" s="10">
        <f t="shared" si="1"/>
        <v>0</v>
      </c>
      <c r="W17" s="10">
        <f t="shared" si="2"/>
        <v>0</v>
      </c>
      <c r="X17" s="6">
        <f t="shared" si="3"/>
        <v>0</v>
      </c>
      <c r="Y17" s="5">
        <f t="shared" si="6"/>
        <v>0</v>
      </c>
      <c r="Z17" s="10">
        <f t="shared" si="7"/>
        <v>0</v>
      </c>
      <c r="AA17" s="10">
        <f t="shared" si="8"/>
        <v>0</v>
      </c>
      <c r="AB17" s="10">
        <f t="shared" si="9"/>
        <v>0</v>
      </c>
      <c r="AC17" s="6">
        <f t="shared" si="10"/>
        <v>0</v>
      </c>
    </row>
    <row r="18" spans="1:29" x14ac:dyDescent="0.25">
      <c r="A18" t="s">
        <v>31</v>
      </c>
      <c r="B18" t="s">
        <v>39</v>
      </c>
      <c r="C18" s="1" t="s">
        <v>1</v>
      </c>
      <c r="D18">
        <v>0</v>
      </c>
      <c r="E18">
        <v>0</v>
      </c>
      <c r="F18">
        <v>0</v>
      </c>
      <c r="G18">
        <v>0</v>
      </c>
      <c r="H18">
        <v>0</v>
      </c>
      <c r="I18" s="1">
        <v>45429</v>
      </c>
      <c r="J18" s="1">
        <v>45429</v>
      </c>
      <c r="K18" s="1">
        <v>45429</v>
      </c>
      <c r="L18" s="1">
        <v>45429</v>
      </c>
      <c r="M18" s="1">
        <v>45429</v>
      </c>
      <c r="N18" s="5"/>
      <c r="S18" s="6"/>
      <c r="T18" s="5">
        <f t="shared" si="5"/>
        <v>0</v>
      </c>
      <c r="U18" s="10">
        <f t="shared" si="0"/>
        <v>0</v>
      </c>
      <c r="V18" s="10">
        <f t="shared" si="1"/>
        <v>0</v>
      </c>
      <c r="W18" s="10">
        <f t="shared" si="2"/>
        <v>0</v>
      </c>
      <c r="X18" s="6">
        <f t="shared" si="3"/>
        <v>0</v>
      </c>
      <c r="Y18" s="5">
        <f t="shared" si="6"/>
        <v>0</v>
      </c>
      <c r="Z18" s="10">
        <f t="shared" si="7"/>
        <v>0</v>
      </c>
      <c r="AA18" s="10">
        <f t="shared" si="8"/>
        <v>0</v>
      </c>
      <c r="AB18" s="10">
        <f t="shared" si="9"/>
        <v>0</v>
      </c>
      <c r="AC18" s="6">
        <f t="shared" si="10"/>
        <v>0</v>
      </c>
    </row>
    <row r="19" spans="1:29" x14ac:dyDescent="0.25">
      <c r="A19" t="s">
        <v>40</v>
      </c>
      <c r="B19" t="s">
        <v>41</v>
      </c>
      <c r="C19" s="1" t="s">
        <v>2</v>
      </c>
      <c r="D19">
        <v>0</v>
      </c>
      <c r="E19">
        <v>0</v>
      </c>
      <c r="F19">
        <v>0</v>
      </c>
      <c r="G19">
        <v>0</v>
      </c>
      <c r="H19">
        <v>0</v>
      </c>
      <c r="I19" s="1">
        <v>45428</v>
      </c>
      <c r="J19" s="1">
        <v>45428</v>
      </c>
      <c r="K19" s="1">
        <v>45428</v>
      </c>
      <c r="L19" s="1">
        <v>45428</v>
      </c>
      <c r="M19" s="1">
        <v>45428</v>
      </c>
      <c r="N19" s="5"/>
      <c r="S19" s="6"/>
      <c r="T19" s="5">
        <f t="shared" si="5"/>
        <v>0</v>
      </c>
      <c r="U19" s="10">
        <f t="shared" si="0"/>
        <v>0</v>
      </c>
      <c r="V19" s="10">
        <f t="shared" si="1"/>
        <v>0</v>
      </c>
      <c r="W19" s="10">
        <f t="shared" si="2"/>
        <v>0</v>
      </c>
      <c r="X19" s="6">
        <f t="shared" si="3"/>
        <v>0</v>
      </c>
      <c r="Y19" s="5">
        <f t="shared" si="6"/>
        <v>0</v>
      </c>
      <c r="Z19" s="10">
        <f t="shared" si="7"/>
        <v>0</v>
      </c>
      <c r="AA19" s="10">
        <f t="shared" si="8"/>
        <v>0</v>
      </c>
      <c r="AB19" s="10">
        <f t="shared" si="9"/>
        <v>0</v>
      </c>
      <c r="AC19" s="6">
        <f t="shared" si="10"/>
        <v>0</v>
      </c>
    </row>
    <row r="20" spans="1:29" x14ac:dyDescent="0.25">
      <c r="A20" t="s">
        <v>40</v>
      </c>
      <c r="B20" t="s">
        <v>41</v>
      </c>
      <c r="C20" s="1" t="s">
        <v>2</v>
      </c>
      <c r="D20">
        <v>0</v>
      </c>
      <c r="E20">
        <v>0</v>
      </c>
      <c r="F20">
        <v>0</v>
      </c>
      <c r="G20">
        <v>0</v>
      </c>
      <c r="H20">
        <v>0</v>
      </c>
      <c r="I20" s="1">
        <v>45428</v>
      </c>
      <c r="J20" s="1">
        <v>45428</v>
      </c>
      <c r="K20" s="1">
        <v>45428</v>
      </c>
      <c r="L20" s="1">
        <v>45428</v>
      </c>
      <c r="M20" s="1">
        <v>45428</v>
      </c>
      <c r="N20" s="5"/>
      <c r="S20" s="6"/>
      <c r="T20" s="5">
        <f t="shared" si="5"/>
        <v>0</v>
      </c>
      <c r="U20" s="10">
        <f t="shared" si="0"/>
        <v>0</v>
      </c>
      <c r="V20" s="10">
        <f t="shared" si="1"/>
        <v>0</v>
      </c>
      <c r="W20" s="10">
        <f t="shared" si="2"/>
        <v>0</v>
      </c>
      <c r="X20" s="6">
        <f t="shared" si="3"/>
        <v>0</v>
      </c>
      <c r="Y20" s="5">
        <f t="shared" si="6"/>
        <v>0</v>
      </c>
      <c r="Z20" s="10">
        <f t="shared" si="7"/>
        <v>0</v>
      </c>
      <c r="AA20" s="10">
        <f t="shared" si="8"/>
        <v>0</v>
      </c>
      <c r="AB20" s="10">
        <f t="shared" si="9"/>
        <v>0</v>
      </c>
      <c r="AC20" s="6">
        <f t="shared" si="10"/>
        <v>0</v>
      </c>
    </row>
    <row r="21" spans="1:29" x14ac:dyDescent="0.25">
      <c r="A21" t="s">
        <v>40</v>
      </c>
      <c r="B21" t="s">
        <v>41</v>
      </c>
      <c r="C21" s="1" t="s">
        <v>2</v>
      </c>
      <c r="D21">
        <v>0</v>
      </c>
      <c r="E21">
        <v>0</v>
      </c>
      <c r="F21">
        <v>0</v>
      </c>
      <c r="G21">
        <v>0</v>
      </c>
      <c r="H21">
        <v>0</v>
      </c>
      <c r="I21" s="1">
        <v>45428</v>
      </c>
      <c r="J21" s="1">
        <v>45428</v>
      </c>
      <c r="K21" s="1">
        <v>45428</v>
      </c>
      <c r="L21" s="1">
        <v>45428</v>
      </c>
      <c r="M21" s="1">
        <v>45428</v>
      </c>
      <c r="N21" s="5"/>
      <c r="S21" s="6"/>
      <c r="T21" s="5">
        <f t="shared" si="5"/>
        <v>0</v>
      </c>
      <c r="U21" s="10">
        <f t="shared" si="0"/>
        <v>0</v>
      </c>
      <c r="V21" s="10">
        <f t="shared" si="1"/>
        <v>0</v>
      </c>
      <c r="W21" s="10">
        <f t="shared" si="2"/>
        <v>0</v>
      </c>
      <c r="X21" s="6">
        <f t="shared" si="3"/>
        <v>0</v>
      </c>
      <c r="Y21" s="5">
        <f t="shared" si="6"/>
        <v>0</v>
      </c>
      <c r="Z21" s="10">
        <f t="shared" si="7"/>
        <v>0</v>
      </c>
      <c r="AA21" s="10">
        <f t="shared" si="8"/>
        <v>0</v>
      </c>
      <c r="AB21" s="10">
        <f t="shared" si="9"/>
        <v>0</v>
      </c>
      <c r="AC21" s="6">
        <f t="shared" si="10"/>
        <v>0</v>
      </c>
    </row>
    <row r="22" spans="1:29" x14ac:dyDescent="0.25">
      <c r="A22" t="s">
        <v>40</v>
      </c>
      <c r="B22" t="s">
        <v>42</v>
      </c>
      <c r="C22" s="1" t="s">
        <v>2</v>
      </c>
      <c r="D22">
        <v>0</v>
      </c>
      <c r="E22">
        <v>37</v>
      </c>
      <c r="F22">
        <v>0</v>
      </c>
      <c r="G22">
        <v>0</v>
      </c>
      <c r="H22">
        <v>0</v>
      </c>
      <c r="I22" s="1">
        <v>45428</v>
      </c>
      <c r="J22" s="1">
        <v>45465</v>
      </c>
      <c r="K22" s="1">
        <v>45428</v>
      </c>
      <c r="L22" s="1">
        <v>45428</v>
      </c>
      <c r="M22" s="1">
        <v>45428</v>
      </c>
      <c r="N22" s="5">
        <v>189.58338637309939</v>
      </c>
      <c r="P22">
        <v>209.4106492996639</v>
      </c>
      <c r="S22" s="6"/>
      <c r="T22" s="5">
        <f t="shared" si="5"/>
        <v>0</v>
      </c>
      <c r="U22" s="10">
        <f t="shared" si="0"/>
        <v>10.45833356280732</v>
      </c>
      <c r="V22" s="10">
        <f t="shared" si="1"/>
        <v>0</v>
      </c>
      <c r="W22" s="10">
        <f t="shared" si="2"/>
        <v>0</v>
      </c>
      <c r="X22" s="6">
        <f t="shared" si="3"/>
        <v>0</v>
      </c>
      <c r="Y22" s="5">
        <f t="shared" si="6"/>
        <v>0</v>
      </c>
      <c r="Z22" s="10">
        <f t="shared" si="7"/>
        <v>104.5833356280732</v>
      </c>
      <c r="AA22" s="10">
        <f t="shared" si="8"/>
        <v>0</v>
      </c>
      <c r="AB22" s="10">
        <f t="shared" si="9"/>
        <v>0</v>
      </c>
      <c r="AC22" s="6">
        <f t="shared" si="10"/>
        <v>0</v>
      </c>
    </row>
    <row r="23" spans="1:29" x14ac:dyDescent="0.25">
      <c r="A23" t="s">
        <v>40</v>
      </c>
      <c r="B23" t="s">
        <v>42</v>
      </c>
      <c r="C23" s="1" t="s">
        <v>2</v>
      </c>
      <c r="D23">
        <v>0</v>
      </c>
      <c r="E23">
        <v>37</v>
      </c>
      <c r="F23">
        <v>0</v>
      </c>
      <c r="G23">
        <v>0</v>
      </c>
      <c r="H23">
        <v>0</v>
      </c>
      <c r="I23" s="1">
        <v>45428</v>
      </c>
      <c r="J23" s="1">
        <v>45465</v>
      </c>
      <c r="K23" s="1">
        <v>45428</v>
      </c>
      <c r="L23" s="1">
        <v>45428</v>
      </c>
      <c r="M23" s="1">
        <v>45428</v>
      </c>
      <c r="N23" s="5">
        <v>189.58338637309939</v>
      </c>
      <c r="P23">
        <v>209.4106492996639</v>
      </c>
      <c r="S23" s="6"/>
      <c r="T23" s="5">
        <f t="shared" si="5"/>
        <v>0</v>
      </c>
      <c r="U23" s="10">
        <f t="shared" si="0"/>
        <v>10.45833356280732</v>
      </c>
      <c r="V23" s="10">
        <f t="shared" si="1"/>
        <v>0</v>
      </c>
      <c r="W23" s="10">
        <f t="shared" si="2"/>
        <v>0</v>
      </c>
      <c r="X23" s="6">
        <f t="shared" si="3"/>
        <v>0</v>
      </c>
      <c r="Y23" s="5">
        <f t="shared" si="6"/>
        <v>0</v>
      </c>
      <c r="Z23" s="10">
        <f t="shared" si="7"/>
        <v>104.5833356280732</v>
      </c>
      <c r="AA23" s="10">
        <f t="shared" si="8"/>
        <v>0</v>
      </c>
      <c r="AB23" s="10">
        <f t="shared" si="9"/>
        <v>0</v>
      </c>
      <c r="AC23" s="6">
        <f t="shared" si="10"/>
        <v>0</v>
      </c>
    </row>
    <row r="24" spans="1:29" x14ac:dyDescent="0.25">
      <c r="A24" t="s">
        <v>40</v>
      </c>
      <c r="B24" t="s">
        <v>43</v>
      </c>
      <c r="C24" s="1" t="s">
        <v>2</v>
      </c>
      <c r="D24">
        <v>0</v>
      </c>
      <c r="E24">
        <v>0</v>
      </c>
      <c r="F24">
        <v>0</v>
      </c>
      <c r="G24">
        <v>0</v>
      </c>
      <c r="H24">
        <v>0</v>
      </c>
      <c r="I24" s="1">
        <v>45428</v>
      </c>
      <c r="J24" s="1">
        <v>45428</v>
      </c>
      <c r="K24" s="1">
        <v>45428</v>
      </c>
      <c r="L24" s="1">
        <v>45428</v>
      </c>
      <c r="M24" s="1">
        <v>45428</v>
      </c>
      <c r="N24" s="5"/>
      <c r="S24" s="6"/>
      <c r="T24" s="5">
        <f t="shared" si="5"/>
        <v>0</v>
      </c>
      <c r="U24" s="10">
        <f t="shared" si="0"/>
        <v>0</v>
      </c>
      <c r="V24" s="10">
        <f t="shared" si="1"/>
        <v>0</v>
      </c>
      <c r="W24" s="10">
        <f t="shared" si="2"/>
        <v>0</v>
      </c>
      <c r="X24" s="6">
        <f t="shared" si="3"/>
        <v>0</v>
      </c>
      <c r="Y24" s="5">
        <f t="shared" si="6"/>
        <v>0</v>
      </c>
      <c r="Z24" s="10">
        <f t="shared" si="7"/>
        <v>0</v>
      </c>
      <c r="AA24" s="10">
        <f t="shared" si="8"/>
        <v>0</v>
      </c>
      <c r="AB24" s="10">
        <f t="shared" si="9"/>
        <v>0</v>
      </c>
      <c r="AC24" s="6">
        <f t="shared" si="10"/>
        <v>0</v>
      </c>
    </row>
    <row r="25" spans="1:29" x14ac:dyDescent="0.25">
      <c r="A25" t="s">
        <v>44</v>
      </c>
      <c r="B25" t="s">
        <v>45</v>
      </c>
      <c r="C25" s="1" t="s">
        <v>2</v>
      </c>
      <c r="D25">
        <v>0</v>
      </c>
      <c r="E25">
        <v>0</v>
      </c>
      <c r="F25">
        <v>0</v>
      </c>
      <c r="G25">
        <v>0</v>
      </c>
      <c r="H25">
        <v>0</v>
      </c>
      <c r="I25" s="1">
        <v>45428</v>
      </c>
      <c r="J25" s="1">
        <v>45428</v>
      </c>
      <c r="K25" s="1">
        <v>45428</v>
      </c>
      <c r="L25" s="1">
        <v>45428</v>
      </c>
      <c r="M25" s="1">
        <v>45428</v>
      </c>
      <c r="N25" s="5"/>
      <c r="S25" s="6"/>
      <c r="T25" s="5">
        <f t="shared" si="5"/>
        <v>0</v>
      </c>
      <c r="U25" s="10">
        <f t="shared" si="0"/>
        <v>0</v>
      </c>
      <c r="V25" s="10">
        <f t="shared" si="1"/>
        <v>0</v>
      </c>
      <c r="W25" s="10">
        <f t="shared" si="2"/>
        <v>0</v>
      </c>
      <c r="X25" s="6">
        <f t="shared" si="3"/>
        <v>0</v>
      </c>
      <c r="Y25" s="5">
        <f t="shared" si="6"/>
        <v>0</v>
      </c>
      <c r="Z25" s="10">
        <f t="shared" si="7"/>
        <v>0</v>
      </c>
      <c r="AA25" s="10">
        <f t="shared" si="8"/>
        <v>0</v>
      </c>
      <c r="AB25" s="10">
        <f t="shared" si="9"/>
        <v>0</v>
      </c>
      <c r="AC25" s="6">
        <f t="shared" si="10"/>
        <v>0</v>
      </c>
    </row>
    <row r="26" spans="1:29" x14ac:dyDescent="0.25">
      <c r="A26" t="s">
        <v>46</v>
      </c>
      <c r="B26" t="s">
        <v>47</v>
      </c>
      <c r="C26" s="1" t="s">
        <v>2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45428</v>
      </c>
      <c r="J26" s="1">
        <v>45428</v>
      </c>
      <c r="K26" s="1">
        <v>45428</v>
      </c>
      <c r="L26" s="1">
        <v>45428</v>
      </c>
      <c r="M26" s="1">
        <v>45428</v>
      </c>
      <c r="N26" s="5"/>
      <c r="S26" s="6"/>
      <c r="T26" s="5">
        <f t="shared" si="5"/>
        <v>0</v>
      </c>
      <c r="U26" s="10">
        <f t="shared" si="0"/>
        <v>0</v>
      </c>
      <c r="V26" s="10">
        <f t="shared" si="1"/>
        <v>0</v>
      </c>
      <c r="W26" s="10">
        <f t="shared" si="2"/>
        <v>0</v>
      </c>
      <c r="X26" s="6">
        <f t="shared" si="3"/>
        <v>0</v>
      </c>
      <c r="Y26" s="5">
        <f t="shared" si="6"/>
        <v>0</v>
      </c>
      <c r="Z26" s="10">
        <f t="shared" si="7"/>
        <v>0</v>
      </c>
      <c r="AA26" s="10">
        <f t="shared" si="8"/>
        <v>0</v>
      </c>
      <c r="AB26" s="10">
        <f t="shared" si="9"/>
        <v>0</v>
      </c>
      <c r="AC26" s="6">
        <f t="shared" si="10"/>
        <v>0</v>
      </c>
    </row>
    <row r="27" spans="1:29" x14ac:dyDescent="0.25">
      <c r="A27" t="s">
        <v>46</v>
      </c>
      <c r="B27" t="s">
        <v>41</v>
      </c>
      <c r="C27" s="1" t="s">
        <v>2</v>
      </c>
      <c r="D27">
        <v>0</v>
      </c>
      <c r="E27">
        <v>0</v>
      </c>
      <c r="F27">
        <v>0</v>
      </c>
      <c r="G27">
        <v>0</v>
      </c>
      <c r="H27">
        <v>0</v>
      </c>
      <c r="I27" s="1">
        <v>45428</v>
      </c>
      <c r="J27" s="1">
        <v>45428</v>
      </c>
      <c r="K27" s="1">
        <v>45428</v>
      </c>
      <c r="L27" s="1">
        <v>45428</v>
      </c>
      <c r="M27" s="1">
        <v>45428</v>
      </c>
      <c r="N27" s="5"/>
      <c r="S27" s="6"/>
      <c r="T27" s="5">
        <f t="shared" si="5"/>
        <v>0</v>
      </c>
      <c r="U27" s="10">
        <f t="shared" si="0"/>
        <v>0</v>
      </c>
      <c r="V27" s="10">
        <f t="shared" si="1"/>
        <v>0</v>
      </c>
      <c r="W27" s="10">
        <f t="shared" si="2"/>
        <v>0</v>
      </c>
      <c r="X27" s="6">
        <f t="shared" si="3"/>
        <v>0</v>
      </c>
      <c r="Y27" s="5">
        <f t="shared" si="6"/>
        <v>0</v>
      </c>
      <c r="Z27" s="10">
        <f t="shared" si="7"/>
        <v>0</v>
      </c>
      <c r="AA27" s="10">
        <f t="shared" si="8"/>
        <v>0</v>
      </c>
      <c r="AB27" s="10">
        <f t="shared" si="9"/>
        <v>0</v>
      </c>
      <c r="AC27" s="6">
        <f t="shared" si="10"/>
        <v>0</v>
      </c>
    </row>
    <row r="28" spans="1:29" x14ac:dyDescent="0.25">
      <c r="A28" t="s">
        <v>46</v>
      </c>
      <c r="B28" t="s">
        <v>41</v>
      </c>
      <c r="C28" s="1" t="s">
        <v>2</v>
      </c>
      <c r="D28">
        <v>0</v>
      </c>
      <c r="E28">
        <v>0</v>
      </c>
      <c r="F28">
        <v>0</v>
      </c>
      <c r="G28">
        <v>0</v>
      </c>
      <c r="H28">
        <v>0</v>
      </c>
      <c r="I28" s="1">
        <v>45428</v>
      </c>
      <c r="J28" s="1">
        <v>45428</v>
      </c>
      <c r="K28" s="1">
        <v>45428</v>
      </c>
      <c r="L28" s="1">
        <v>45428</v>
      </c>
      <c r="M28" s="1">
        <v>45428</v>
      </c>
      <c r="N28" s="5"/>
      <c r="S28" s="6"/>
      <c r="T28" s="5">
        <f t="shared" si="5"/>
        <v>0</v>
      </c>
      <c r="U28" s="10">
        <f t="shared" si="0"/>
        <v>0</v>
      </c>
      <c r="V28" s="10">
        <f t="shared" si="1"/>
        <v>0</v>
      </c>
      <c r="W28" s="10">
        <f t="shared" si="2"/>
        <v>0</v>
      </c>
      <c r="X28" s="6">
        <f t="shared" si="3"/>
        <v>0</v>
      </c>
      <c r="Y28" s="5">
        <f t="shared" si="6"/>
        <v>0</v>
      </c>
      <c r="Z28" s="10">
        <f t="shared" si="7"/>
        <v>0</v>
      </c>
      <c r="AA28" s="10">
        <f t="shared" si="8"/>
        <v>0</v>
      </c>
      <c r="AB28" s="10">
        <f t="shared" si="9"/>
        <v>0</v>
      </c>
      <c r="AC28" s="6">
        <f t="shared" si="10"/>
        <v>0</v>
      </c>
    </row>
    <row r="29" spans="1:29" x14ac:dyDescent="0.25">
      <c r="A29" t="s">
        <v>46</v>
      </c>
      <c r="B29" t="s">
        <v>48</v>
      </c>
      <c r="C29" s="1" t="s">
        <v>2</v>
      </c>
      <c r="D29">
        <v>0</v>
      </c>
      <c r="E29">
        <v>36</v>
      </c>
      <c r="F29">
        <v>0</v>
      </c>
      <c r="G29">
        <v>0</v>
      </c>
      <c r="H29">
        <v>0</v>
      </c>
      <c r="I29" s="1">
        <v>45428</v>
      </c>
      <c r="J29" s="1">
        <v>45464</v>
      </c>
      <c r="K29" s="1">
        <v>45428</v>
      </c>
      <c r="L29" s="1">
        <v>45428</v>
      </c>
      <c r="M29" s="1">
        <v>45428</v>
      </c>
      <c r="N29" s="5">
        <v>15.44999980926514</v>
      </c>
      <c r="P29">
        <v>16.64999961853027</v>
      </c>
      <c r="S29" s="6"/>
      <c r="T29" s="5">
        <f t="shared" si="5"/>
        <v>0</v>
      </c>
      <c r="U29" s="10">
        <f t="shared" si="0"/>
        <v>7.7669891526180201</v>
      </c>
      <c r="V29" s="10">
        <f t="shared" si="1"/>
        <v>0</v>
      </c>
      <c r="W29" s="10">
        <f t="shared" si="2"/>
        <v>0</v>
      </c>
      <c r="X29" s="6">
        <f t="shared" si="3"/>
        <v>0</v>
      </c>
      <c r="Y29" s="5">
        <f t="shared" si="6"/>
        <v>0</v>
      </c>
      <c r="Z29" s="10">
        <f t="shared" si="7"/>
        <v>77.669891526180194</v>
      </c>
      <c r="AA29" s="10">
        <f t="shared" si="8"/>
        <v>0</v>
      </c>
      <c r="AB29" s="10">
        <f t="shared" si="9"/>
        <v>0</v>
      </c>
      <c r="AC29" s="6">
        <f t="shared" si="10"/>
        <v>0</v>
      </c>
    </row>
    <row r="30" spans="1:29" x14ac:dyDescent="0.25">
      <c r="A30" t="s">
        <v>46</v>
      </c>
      <c r="B30" t="s">
        <v>49</v>
      </c>
      <c r="C30" s="1" t="s">
        <v>2</v>
      </c>
      <c r="D30">
        <v>0</v>
      </c>
      <c r="E30">
        <v>0</v>
      </c>
      <c r="F30">
        <v>0</v>
      </c>
      <c r="G30">
        <v>0</v>
      </c>
      <c r="H30">
        <v>0</v>
      </c>
      <c r="I30" s="1">
        <v>45428</v>
      </c>
      <c r="J30" s="1">
        <v>45428</v>
      </c>
      <c r="K30" s="1">
        <v>45428</v>
      </c>
      <c r="L30" s="1">
        <v>45428</v>
      </c>
      <c r="M30" s="1">
        <v>45428</v>
      </c>
      <c r="N30" s="5"/>
      <c r="S30" s="6"/>
      <c r="T30" s="5">
        <f t="shared" si="5"/>
        <v>0</v>
      </c>
      <c r="U30" s="10">
        <f t="shared" si="0"/>
        <v>0</v>
      </c>
      <c r="V30" s="10">
        <f t="shared" si="1"/>
        <v>0</v>
      </c>
      <c r="W30" s="10">
        <f t="shared" si="2"/>
        <v>0</v>
      </c>
      <c r="X30" s="6">
        <f t="shared" si="3"/>
        <v>0</v>
      </c>
      <c r="Y30" s="5">
        <f t="shared" si="6"/>
        <v>0</v>
      </c>
      <c r="Z30" s="10">
        <f t="shared" si="7"/>
        <v>0</v>
      </c>
      <c r="AA30" s="10">
        <f t="shared" si="8"/>
        <v>0</v>
      </c>
      <c r="AB30" s="10">
        <f t="shared" si="9"/>
        <v>0</v>
      </c>
      <c r="AC30" s="6">
        <f t="shared" si="10"/>
        <v>0</v>
      </c>
    </row>
    <row r="31" spans="1:29" x14ac:dyDescent="0.25">
      <c r="A31" t="s">
        <v>46</v>
      </c>
      <c r="B31" t="s">
        <v>50</v>
      </c>
      <c r="C31" s="1" t="s">
        <v>2</v>
      </c>
      <c r="D31">
        <v>0</v>
      </c>
      <c r="E31">
        <v>0</v>
      </c>
      <c r="F31">
        <v>0</v>
      </c>
      <c r="G31">
        <v>0</v>
      </c>
      <c r="H31">
        <v>0</v>
      </c>
      <c r="I31" s="1">
        <v>45428</v>
      </c>
      <c r="J31" s="1">
        <v>45428</v>
      </c>
      <c r="K31" s="1">
        <v>45428</v>
      </c>
      <c r="L31" s="1">
        <v>45428</v>
      </c>
      <c r="M31" s="1">
        <v>45428</v>
      </c>
      <c r="N31" s="5"/>
      <c r="S31" s="6"/>
      <c r="T31" s="5">
        <f t="shared" si="5"/>
        <v>0</v>
      </c>
      <c r="U31" s="10">
        <f t="shared" si="0"/>
        <v>0</v>
      </c>
      <c r="V31" s="10">
        <f t="shared" si="1"/>
        <v>0</v>
      </c>
      <c r="W31" s="10">
        <f t="shared" si="2"/>
        <v>0</v>
      </c>
      <c r="X31" s="6">
        <f t="shared" si="3"/>
        <v>0</v>
      </c>
      <c r="Y31" s="5">
        <f t="shared" si="6"/>
        <v>0</v>
      </c>
      <c r="Z31" s="10">
        <f t="shared" si="7"/>
        <v>0</v>
      </c>
      <c r="AA31" s="10">
        <f t="shared" si="8"/>
        <v>0</v>
      </c>
      <c r="AB31" s="10">
        <f t="shared" si="9"/>
        <v>0</v>
      </c>
      <c r="AC31" s="6">
        <f t="shared" si="10"/>
        <v>0</v>
      </c>
    </row>
    <row r="32" spans="1:29" x14ac:dyDescent="0.25">
      <c r="A32" t="s">
        <v>46</v>
      </c>
      <c r="B32" t="s">
        <v>51</v>
      </c>
      <c r="C32" s="1" t="s">
        <v>2</v>
      </c>
      <c r="D32">
        <v>0</v>
      </c>
      <c r="E32">
        <v>0</v>
      </c>
      <c r="F32">
        <v>38</v>
      </c>
      <c r="G32">
        <v>38</v>
      </c>
      <c r="H32">
        <v>0</v>
      </c>
      <c r="I32" s="1">
        <v>45428</v>
      </c>
      <c r="J32" s="1">
        <v>45428</v>
      </c>
      <c r="K32" s="1">
        <v>45466</v>
      </c>
      <c r="L32" s="1">
        <v>45466</v>
      </c>
      <c r="M32" s="1">
        <v>45428</v>
      </c>
      <c r="N32" s="5">
        <v>6.7899999618530273</v>
      </c>
      <c r="Q32">
        <v>6.5799999237060547</v>
      </c>
      <c r="R32">
        <v>6.5799999237060547</v>
      </c>
      <c r="S32" s="6"/>
      <c r="T32" s="5">
        <f t="shared" si="5"/>
        <v>0</v>
      </c>
      <c r="U32" s="10">
        <f t="shared" si="0"/>
        <v>0</v>
      </c>
      <c r="V32" s="10">
        <f t="shared" si="1"/>
        <v>-3.0927840843413268</v>
      </c>
      <c r="W32" s="10">
        <f t="shared" si="2"/>
        <v>-3.0927840843413268</v>
      </c>
      <c r="X32" s="6">
        <f t="shared" si="3"/>
        <v>0</v>
      </c>
      <c r="Y32" s="5">
        <f t="shared" si="6"/>
        <v>0</v>
      </c>
      <c r="Z32" s="10">
        <f t="shared" si="7"/>
        <v>0</v>
      </c>
      <c r="AA32" s="10">
        <f t="shared" si="8"/>
        <v>-30.927840843413268</v>
      </c>
      <c r="AB32" s="10">
        <f t="shared" si="9"/>
        <v>-30.927840843413268</v>
      </c>
      <c r="AC32" s="6">
        <f t="shared" si="10"/>
        <v>0</v>
      </c>
    </row>
    <row r="33" spans="1:29" x14ac:dyDescent="0.25">
      <c r="A33" t="s">
        <v>46</v>
      </c>
      <c r="B33" t="s">
        <v>52</v>
      </c>
      <c r="C33" s="1" t="s">
        <v>2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45428</v>
      </c>
      <c r="J33" s="1">
        <v>45428</v>
      </c>
      <c r="K33" s="1">
        <v>45428</v>
      </c>
      <c r="L33" s="1">
        <v>45428</v>
      </c>
      <c r="M33" s="1">
        <v>45428</v>
      </c>
      <c r="N33" s="5"/>
      <c r="S33" s="6"/>
      <c r="T33" s="5">
        <f t="shared" si="5"/>
        <v>0</v>
      </c>
      <c r="U33" s="10">
        <f t="shared" si="0"/>
        <v>0</v>
      </c>
      <c r="V33" s="10">
        <f t="shared" si="1"/>
        <v>0</v>
      </c>
      <c r="W33" s="10">
        <f t="shared" si="2"/>
        <v>0</v>
      </c>
      <c r="X33" s="6">
        <f t="shared" si="3"/>
        <v>0</v>
      </c>
      <c r="Y33" s="5">
        <f t="shared" si="6"/>
        <v>0</v>
      </c>
      <c r="Z33" s="10">
        <f t="shared" si="7"/>
        <v>0</v>
      </c>
      <c r="AA33" s="10">
        <f t="shared" si="8"/>
        <v>0</v>
      </c>
      <c r="AB33" s="10">
        <f t="shared" si="9"/>
        <v>0</v>
      </c>
      <c r="AC33" s="6">
        <f t="shared" si="10"/>
        <v>0</v>
      </c>
    </row>
    <row r="34" spans="1:29" x14ac:dyDescent="0.25">
      <c r="A34" t="s">
        <v>46</v>
      </c>
      <c r="B34" t="s">
        <v>53</v>
      </c>
      <c r="C34" s="1" t="s">
        <v>2</v>
      </c>
      <c r="D34">
        <v>0</v>
      </c>
      <c r="E34">
        <v>0</v>
      </c>
      <c r="F34">
        <v>0</v>
      </c>
      <c r="G34">
        <v>0</v>
      </c>
      <c r="H34">
        <v>0</v>
      </c>
      <c r="I34" s="1">
        <v>45428</v>
      </c>
      <c r="J34" s="1">
        <v>45428</v>
      </c>
      <c r="K34" s="1">
        <v>45428</v>
      </c>
      <c r="L34" s="1">
        <v>45428</v>
      </c>
      <c r="M34" s="1">
        <v>45428</v>
      </c>
      <c r="N34" s="5"/>
      <c r="S34" s="6"/>
      <c r="T34" s="5">
        <f t="shared" si="5"/>
        <v>0</v>
      </c>
      <c r="U34" s="10">
        <f t="shared" si="0"/>
        <v>0</v>
      </c>
      <c r="V34" s="10">
        <f t="shared" si="1"/>
        <v>0</v>
      </c>
      <c r="W34" s="10">
        <f t="shared" si="2"/>
        <v>0</v>
      </c>
      <c r="X34" s="6">
        <f t="shared" si="3"/>
        <v>0</v>
      </c>
      <c r="Y34" s="5">
        <f t="shared" si="6"/>
        <v>0</v>
      </c>
      <c r="Z34" s="10">
        <f t="shared" si="7"/>
        <v>0</v>
      </c>
      <c r="AA34" s="10">
        <f t="shared" si="8"/>
        <v>0</v>
      </c>
      <c r="AB34" s="10">
        <f t="shared" si="9"/>
        <v>0</v>
      </c>
      <c r="AC34" s="6">
        <f t="shared" si="10"/>
        <v>0</v>
      </c>
    </row>
    <row r="35" spans="1:29" x14ac:dyDescent="0.25">
      <c r="A35" t="s">
        <v>46</v>
      </c>
      <c r="B35" t="s">
        <v>54</v>
      </c>
      <c r="C35" s="1" t="s">
        <v>2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45428</v>
      </c>
      <c r="J35" s="1">
        <v>45428</v>
      </c>
      <c r="K35" s="1">
        <v>45428</v>
      </c>
      <c r="L35" s="1">
        <v>45428</v>
      </c>
      <c r="M35" s="1">
        <v>45428</v>
      </c>
      <c r="N35" s="5"/>
      <c r="S35" s="6"/>
      <c r="T35" s="5">
        <f t="shared" si="5"/>
        <v>0</v>
      </c>
      <c r="U35" s="10">
        <f t="shared" si="0"/>
        <v>0</v>
      </c>
      <c r="V35" s="10">
        <f t="shared" si="1"/>
        <v>0</v>
      </c>
      <c r="W35" s="10">
        <f t="shared" si="2"/>
        <v>0</v>
      </c>
      <c r="X35" s="6">
        <f t="shared" si="3"/>
        <v>0</v>
      </c>
      <c r="Y35" s="5">
        <f t="shared" si="6"/>
        <v>0</v>
      </c>
      <c r="Z35" s="10">
        <f t="shared" si="7"/>
        <v>0</v>
      </c>
      <c r="AA35" s="10">
        <f t="shared" si="8"/>
        <v>0</v>
      </c>
      <c r="AB35" s="10">
        <f t="shared" si="9"/>
        <v>0</v>
      </c>
      <c r="AC35" s="6">
        <f t="shared" si="10"/>
        <v>0</v>
      </c>
    </row>
    <row r="36" spans="1:29" x14ac:dyDescent="0.25">
      <c r="A36" t="s">
        <v>46</v>
      </c>
      <c r="B36" t="s">
        <v>55</v>
      </c>
      <c r="C36" s="1" t="s">
        <v>2</v>
      </c>
      <c r="D36">
        <v>0</v>
      </c>
      <c r="E36">
        <v>37</v>
      </c>
      <c r="F36">
        <v>0</v>
      </c>
      <c r="G36">
        <v>0</v>
      </c>
      <c r="H36">
        <v>0</v>
      </c>
      <c r="I36" s="1">
        <v>45428</v>
      </c>
      <c r="J36" s="1">
        <v>45465</v>
      </c>
      <c r="K36" s="1">
        <v>45428</v>
      </c>
      <c r="L36" s="1">
        <v>45428</v>
      </c>
      <c r="M36" s="1">
        <v>45428</v>
      </c>
      <c r="N36" s="5">
        <v>174.1000061035156</v>
      </c>
      <c r="P36">
        <v>182.30000305175781</v>
      </c>
      <c r="S36" s="6"/>
      <c r="T36" s="5">
        <f t="shared" si="5"/>
        <v>0</v>
      </c>
      <c r="U36" s="10">
        <f t="shared" si="0"/>
        <v>4.7099348999256829</v>
      </c>
      <c r="V36" s="10">
        <f t="shared" si="1"/>
        <v>0</v>
      </c>
      <c r="W36" s="10">
        <f t="shared" si="2"/>
        <v>0</v>
      </c>
      <c r="X36" s="6">
        <f t="shared" si="3"/>
        <v>0</v>
      </c>
      <c r="Y36" s="5">
        <f t="shared" si="6"/>
        <v>0</v>
      </c>
      <c r="Z36" s="10">
        <f t="shared" si="7"/>
        <v>47.099348999256826</v>
      </c>
      <c r="AA36" s="10">
        <f t="shared" si="8"/>
        <v>0</v>
      </c>
      <c r="AB36" s="10">
        <f t="shared" si="9"/>
        <v>0</v>
      </c>
      <c r="AC36" s="6">
        <f t="shared" si="10"/>
        <v>0</v>
      </c>
    </row>
    <row r="37" spans="1:29" x14ac:dyDescent="0.25">
      <c r="A37" t="s">
        <v>46</v>
      </c>
      <c r="B37" t="s">
        <v>55</v>
      </c>
      <c r="C37" s="1" t="s">
        <v>2</v>
      </c>
      <c r="D37">
        <v>0</v>
      </c>
      <c r="E37">
        <v>37</v>
      </c>
      <c r="F37">
        <v>0</v>
      </c>
      <c r="G37">
        <v>0</v>
      </c>
      <c r="H37">
        <v>0</v>
      </c>
      <c r="I37" s="1">
        <v>45428</v>
      </c>
      <c r="J37" s="1">
        <v>45465</v>
      </c>
      <c r="K37" s="1">
        <v>45428</v>
      </c>
      <c r="L37" s="1">
        <v>45428</v>
      </c>
      <c r="M37" s="1">
        <v>45428</v>
      </c>
      <c r="N37" s="5">
        <v>174.1000061035156</v>
      </c>
      <c r="P37">
        <v>182.30000305175781</v>
      </c>
      <c r="S37" s="6"/>
      <c r="T37" s="5">
        <f t="shared" si="5"/>
        <v>0</v>
      </c>
      <c r="U37" s="10">
        <f t="shared" si="0"/>
        <v>4.7099348999256829</v>
      </c>
      <c r="V37" s="10">
        <f t="shared" si="1"/>
        <v>0</v>
      </c>
      <c r="W37" s="10">
        <f t="shared" si="2"/>
        <v>0</v>
      </c>
      <c r="X37" s="6">
        <f t="shared" si="3"/>
        <v>0</v>
      </c>
      <c r="Y37" s="5">
        <f t="shared" si="6"/>
        <v>0</v>
      </c>
      <c r="Z37" s="10">
        <f t="shared" si="7"/>
        <v>47.099348999256826</v>
      </c>
      <c r="AA37" s="10">
        <f t="shared" si="8"/>
        <v>0</v>
      </c>
      <c r="AB37" s="10">
        <f t="shared" si="9"/>
        <v>0</v>
      </c>
      <c r="AC37" s="6">
        <f t="shared" si="10"/>
        <v>0</v>
      </c>
    </row>
    <row r="38" spans="1:29" x14ac:dyDescent="0.25">
      <c r="A38" t="s">
        <v>46</v>
      </c>
      <c r="B38" t="s">
        <v>56</v>
      </c>
      <c r="C38" s="1" t="s">
        <v>2</v>
      </c>
      <c r="D38">
        <v>0</v>
      </c>
      <c r="E38">
        <v>37</v>
      </c>
      <c r="F38">
        <v>0</v>
      </c>
      <c r="G38">
        <v>38</v>
      </c>
      <c r="H38">
        <v>35</v>
      </c>
      <c r="I38" s="1">
        <v>45428</v>
      </c>
      <c r="J38" s="1">
        <v>45465</v>
      </c>
      <c r="K38" s="1">
        <v>45428</v>
      </c>
      <c r="L38" s="1">
        <v>45466</v>
      </c>
      <c r="M38" s="1">
        <v>45463</v>
      </c>
      <c r="N38" s="5">
        <v>66.970001220703125</v>
      </c>
      <c r="P38">
        <v>70.040000915527344</v>
      </c>
      <c r="R38">
        <v>70.040000915527344</v>
      </c>
      <c r="S38" s="6">
        <v>70.599998474121094</v>
      </c>
      <c r="T38" s="5">
        <f t="shared" si="5"/>
        <v>0</v>
      </c>
      <c r="U38" s="10">
        <f t="shared" si="0"/>
        <v>4.5841416139546842</v>
      </c>
      <c r="V38" s="10">
        <f t="shared" si="1"/>
        <v>0</v>
      </c>
      <c r="W38" s="10">
        <f t="shared" si="2"/>
        <v>4.5841416139546842</v>
      </c>
      <c r="X38" s="6">
        <f t="shared" si="3"/>
        <v>5.4203332645241131</v>
      </c>
      <c r="Y38" s="5">
        <f t="shared" si="6"/>
        <v>0</v>
      </c>
      <c r="Z38" s="10">
        <f t="shared" si="7"/>
        <v>45.841416139546844</v>
      </c>
      <c r="AA38" s="10">
        <f t="shared" si="8"/>
        <v>0</v>
      </c>
      <c r="AB38" s="10">
        <f t="shared" si="9"/>
        <v>45.841416139546844</v>
      </c>
      <c r="AC38" s="6">
        <f t="shared" si="10"/>
        <v>54.203332645241133</v>
      </c>
    </row>
    <row r="39" spans="1:29" x14ac:dyDescent="0.25">
      <c r="A39" t="s">
        <v>46</v>
      </c>
      <c r="B39" t="s">
        <v>57</v>
      </c>
      <c r="C39" s="1" t="s">
        <v>2</v>
      </c>
      <c r="D39">
        <v>0</v>
      </c>
      <c r="E39">
        <v>0</v>
      </c>
      <c r="F39">
        <v>0</v>
      </c>
      <c r="G39">
        <v>0</v>
      </c>
      <c r="H39">
        <v>0</v>
      </c>
      <c r="I39" s="1">
        <v>45428</v>
      </c>
      <c r="J39" s="1">
        <v>45428</v>
      </c>
      <c r="K39" s="1">
        <v>45428</v>
      </c>
      <c r="L39" s="1">
        <v>45428</v>
      </c>
      <c r="M39" s="1">
        <v>45428</v>
      </c>
      <c r="N39" s="5"/>
      <c r="S39" s="6"/>
      <c r="T39" s="5">
        <f t="shared" si="5"/>
        <v>0</v>
      </c>
      <c r="U39" s="10">
        <f t="shared" si="0"/>
        <v>0</v>
      </c>
      <c r="V39" s="10">
        <f t="shared" si="1"/>
        <v>0</v>
      </c>
      <c r="W39" s="10">
        <f t="shared" si="2"/>
        <v>0</v>
      </c>
      <c r="X39" s="6">
        <f t="shared" si="3"/>
        <v>0</v>
      </c>
      <c r="Y39" s="5">
        <f t="shared" si="6"/>
        <v>0</v>
      </c>
      <c r="Z39" s="10">
        <f t="shared" si="7"/>
        <v>0</v>
      </c>
      <c r="AA39" s="10">
        <f t="shared" si="8"/>
        <v>0</v>
      </c>
      <c r="AB39" s="10">
        <f t="shared" si="9"/>
        <v>0</v>
      </c>
      <c r="AC39" s="6">
        <f t="shared" si="10"/>
        <v>0</v>
      </c>
    </row>
    <row r="40" spans="1:29" x14ac:dyDescent="0.25">
      <c r="A40" t="s">
        <v>46</v>
      </c>
      <c r="B40" t="s">
        <v>58</v>
      </c>
      <c r="C40" s="1" t="s">
        <v>2</v>
      </c>
      <c r="D40">
        <v>0</v>
      </c>
      <c r="E40">
        <v>23</v>
      </c>
      <c r="F40">
        <v>0</v>
      </c>
      <c r="G40">
        <v>0</v>
      </c>
      <c r="H40">
        <v>0</v>
      </c>
      <c r="I40" s="1">
        <v>45428</v>
      </c>
      <c r="J40" s="1">
        <v>45451</v>
      </c>
      <c r="K40" s="1">
        <v>45428</v>
      </c>
      <c r="L40" s="1">
        <v>45428</v>
      </c>
      <c r="M40" s="1">
        <v>45428</v>
      </c>
      <c r="N40" s="5">
        <v>248.96000671386719</v>
      </c>
      <c r="P40">
        <v>213.7200012207031</v>
      </c>
      <c r="S40" s="6"/>
      <c r="T40" s="5">
        <f t="shared" si="5"/>
        <v>0</v>
      </c>
      <c r="U40" s="10">
        <f t="shared" si="0"/>
        <v>-14.154886143486433</v>
      </c>
      <c r="V40" s="10">
        <f t="shared" si="1"/>
        <v>0</v>
      </c>
      <c r="W40" s="10">
        <f t="shared" si="2"/>
        <v>0</v>
      </c>
      <c r="X40" s="6">
        <f t="shared" si="3"/>
        <v>0</v>
      </c>
      <c r="Y40" s="5">
        <f t="shared" si="6"/>
        <v>0</v>
      </c>
      <c r="Z40" s="10">
        <f t="shared" si="7"/>
        <v>-141.54886143486431</v>
      </c>
      <c r="AA40" s="10">
        <f t="shared" si="8"/>
        <v>0</v>
      </c>
      <c r="AB40" s="10">
        <f t="shared" si="9"/>
        <v>0</v>
      </c>
      <c r="AC40" s="6">
        <f t="shared" si="10"/>
        <v>0</v>
      </c>
    </row>
    <row r="41" spans="1:29" x14ac:dyDescent="0.25">
      <c r="A41" t="s">
        <v>59</v>
      </c>
      <c r="B41" t="s">
        <v>60</v>
      </c>
      <c r="C41" s="1" t="s">
        <v>2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45428</v>
      </c>
      <c r="J41" s="1">
        <v>45428</v>
      </c>
      <c r="K41" s="1">
        <v>45428</v>
      </c>
      <c r="L41" s="1">
        <v>45428</v>
      </c>
      <c r="M41" s="1">
        <v>45428</v>
      </c>
      <c r="N41" s="5"/>
      <c r="S41" s="6"/>
      <c r="T41" s="5">
        <f t="shared" si="5"/>
        <v>0</v>
      </c>
      <c r="U41" s="10">
        <f t="shared" si="0"/>
        <v>0</v>
      </c>
      <c r="V41" s="10">
        <f t="shared" si="1"/>
        <v>0</v>
      </c>
      <c r="W41" s="10">
        <f t="shared" si="2"/>
        <v>0</v>
      </c>
      <c r="X41" s="6">
        <f t="shared" si="3"/>
        <v>0</v>
      </c>
      <c r="Y41" s="5">
        <f t="shared" si="6"/>
        <v>0</v>
      </c>
      <c r="Z41" s="10">
        <f t="shared" si="7"/>
        <v>0</v>
      </c>
      <c r="AA41" s="10">
        <f t="shared" si="8"/>
        <v>0</v>
      </c>
      <c r="AB41" s="10">
        <f t="shared" si="9"/>
        <v>0</v>
      </c>
      <c r="AC41" s="6">
        <f t="shared" si="10"/>
        <v>0</v>
      </c>
    </row>
    <row r="42" spans="1:29" x14ac:dyDescent="0.25">
      <c r="A42" t="s">
        <v>61</v>
      </c>
      <c r="B42" t="s">
        <v>62</v>
      </c>
      <c r="C42" s="1" t="s">
        <v>3</v>
      </c>
      <c r="D42">
        <v>0</v>
      </c>
      <c r="E42">
        <v>0</v>
      </c>
      <c r="F42">
        <v>38</v>
      </c>
      <c r="G42">
        <v>0</v>
      </c>
      <c r="H42">
        <v>38</v>
      </c>
      <c r="I42" s="1">
        <v>45427</v>
      </c>
      <c r="J42" s="1">
        <v>45427</v>
      </c>
      <c r="K42" s="1">
        <v>45465</v>
      </c>
      <c r="L42" s="1">
        <v>45427</v>
      </c>
      <c r="M42" s="1">
        <v>45465</v>
      </c>
      <c r="N42" s="5">
        <v>17.21098524656847</v>
      </c>
      <c r="Q42">
        <v>15.07171507393438</v>
      </c>
      <c r="S42" s="6">
        <v>15.07171507393438</v>
      </c>
      <c r="T42" s="5">
        <f t="shared" si="5"/>
        <v>0</v>
      </c>
      <c r="U42" s="10">
        <f t="shared" si="0"/>
        <v>0</v>
      </c>
      <c r="V42" s="10">
        <f t="shared" si="1"/>
        <v>-12.429678731266236</v>
      </c>
      <c r="W42" s="10">
        <f t="shared" si="2"/>
        <v>0</v>
      </c>
      <c r="X42" s="6">
        <f t="shared" si="3"/>
        <v>-12.429678731266236</v>
      </c>
      <c r="Y42" s="5">
        <f t="shared" si="6"/>
        <v>0</v>
      </c>
      <c r="Z42" s="10">
        <f t="shared" si="7"/>
        <v>0</v>
      </c>
      <c r="AA42" s="10">
        <f t="shared" si="8"/>
        <v>-124.29678731266236</v>
      </c>
      <c r="AB42" s="10">
        <f t="shared" si="9"/>
        <v>0</v>
      </c>
      <c r="AC42" s="6">
        <f t="shared" si="10"/>
        <v>-124.29678731266236</v>
      </c>
    </row>
    <row r="43" spans="1:29" x14ac:dyDescent="0.25">
      <c r="A43" t="s">
        <v>61</v>
      </c>
      <c r="B43" t="s">
        <v>63</v>
      </c>
      <c r="C43" s="1" t="s">
        <v>3</v>
      </c>
      <c r="D43">
        <v>0</v>
      </c>
      <c r="E43">
        <v>0</v>
      </c>
      <c r="F43">
        <v>0</v>
      </c>
      <c r="G43">
        <v>0</v>
      </c>
      <c r="H43">
        <v>0</v>
      </c>
      <c r="I43" s="1">
        <v>45427</v>
      </c>
      <c r="J43" s="1">
        <v>45427</v>
      </c>
      <c r="K43" s="1">
        <v>45427</v>
      </c>
      <c r="L43" s="1">
        <v>45427</v>
      </c>
      <c r="M43" s="1">
        <v>45427</v>
      </c>
      <c r="N43" s="5"/>
      <c r="S43" s="6"/>
      <c r="T43" s="5">
        <f t="shared" si="5"/>
        <v>0</v>
      </c>
      <c r="U43" s="10">
        <f t="shared" si="0"/>
        <v>0</v>
      </c>
      <c r="V43" s="10">
        <f t="shared" si="1"/>
        <v>0</v>
      </c>
      <c r="W43" s="10">
        <f t="shared" si="2"/>
        <v>0</v>
      </c>
      <c r="X43" s="6">
        <f t="shared" si="3"/>
        <v>0</v>
      </c>
      <c r="Y43" s="5">
        <f t="shared" si="6"/>
        <v>0</v>
      </c>
      <c r="Z43" s="10">
        <f t="shared" si="7"/>
        <v>0</v>
      </c>
      <c r="AA43" s="10">
        <f t="shared" si="8"/>
        <v>0</v>
      </c>
      <c r="AB43" s="10">
        <f t="shared" si="9"/>
        <v>0</v>
      </c>
      <c r="AC43" s="6">
        <f t="shared" si="10"/>
        <v>0</v>
      </c>
    </row>
    <row r="44" spans="1:29" x14ac:dyDescent="0.25">
      <c r="A44" t="s">
        <v>61</v>
      </c>
      <c r="B44" t="s">
        <v>64</v>
      </c>
      <c r="C44" s="1" t="s">
        <v>3</v>
      </c>
      <c r="D44">
        <v>0</v>
      </c>
      <c r="E44">
        <v>0</v>
      </c>
      <c r="F44">
        <v>0</v>
      </c>
      <c r="G44">
        <v>0</v>
      </c>
      <c r="H44">
        <v>0</v>
      </c>
      <c r="I44" s="1">
        <v>45427</v>
      </c>
      <c r="J44" s="1">
        <v>45427</v>
      </c>
      <c r="K44" s="1">
        <v>45427</v>
      </c>
      <c r="L44" s="1">
        <v>45427</v>
      </c>
      <c r="M44" s="1">
        <v>45427</v>
      </c>
      <c r="N44" s="5"/>
      <c r="S44" s="6"/>
      <c r="T44" s="5">
        <f t="shared" si="5"/>
        <v>0</v>
      </c>
      <c r="U44" s="10">
        <f t="shared" si="0"/>
        <v>0</v>
      </c>
      <c r="V44" s="10">
        <f t="shared" si="1"/>
        <v>0</v>
      </c>
      <c r="W44" s="10">
        <f t="shared" si="2"/>
        <v>0</v>
      </c>
      <c r="X44" s="6">
        <f t="shared" si="3"/>
        <v>0</v>
      </c>
      <c r="Y44" s="5">
        <f t="shared" si="6"/>
        <v>0</v>
      </c>
      <c r="Z44" s="10">
        <f t="shared" si="7"/>
        <v>0</v>
      </c>
      <c r="AA44" s="10">
        <f t="shared" si="8"/>
        <v>0</v>
      </c>
      <c r="AB44" s="10">
        <f t="shared" si="9"/>
        <v>0</v>
      </c>
      <c r="AC44" s="6">
        <f t="shared" si="10"/>
        <v>0</v>
      </c>
    </row>
    <row r="45" spans="1:29" x14ac:dyDescent="0.25">
      <c r="A45" t="s">
        <v>61</v>
      </c>
      <c r="B45" t="s">
        <v>65</v>
      </c>
      <c r="C45" s="1" t="s">
        <v>3</v>
      </c>
      <c r="D45">
        <v>0</v>
      </c>
      <c r="E45">
        <v>0</v>
      </c>
      <c r="F45">
        <v>0</v>
      </c>
      <c r="G45">
        <v>0</v>
      </c>
      <c r="H45">
        <v>0</v>
      </c>
      <c r="I45" s="1">
        <v>45427</v>
      </c>
      <c r="J45" s="1">
        <v>45427</v>
      </c>
      <c r="K45" s="1">
        <v>45427</v>
      </c>
      <c r="L45" s="1">
        <v>45427</v>
      </c>
      <c r="M45" s="1">
        <v>45427</v>
      </c>
      <c r="N45" s="5"/>
      <c r="S45" s="6"/>
      <c r="T45" s="5">
        <f t="shared" si="5"/>
        <v>0</v>
      </c>
      <c r="U45" s="10">
        <f t="shared" si="0"/>
        <v>0</v>
      </c>
      <c r="V45" s="10">
        <f t="shared" si="1"/>
        <v>0</v>
      </c>
      <c r="W45" s="10">
        <f t="shared" si="2"/>
        <v>0</v>
      </c>
      <c r="X45" s="6">
        <f t="shared" si="3"/>
        <v>0</v>
      </c>
      <c r="Y45" s="5">
        <f t="shared" si="6"/>
        <v>0</v>
      </c>
      <c r="Z45" s="10">
        <f t="shared" si="7"/>
        <v>0</v>
      </c>
      <c r="AA45" s="10">
        <f t="shared" si="8"/>
        <v>0</v>
      </c>
      <c r="AB45" s="10">
        <f t="shared" si="9"/>
        <v>0</v>
      </c>
      <c r="AC45" s="6">
        <f t="shared" si="10"/>
        <v>0</v>
      </c>
    </row>
    <row r="46" spans="1:29" x14ac:dyDescent="0.25">
      <c r="A46" t="s">
        <v>61</v>
      </c>
      <c r="B46" t="s">
        <v>66</v>
      </c>
      <c r="C46" s="1" t="s">
        <v>3</v>
      </c>
      <c r="D46">
        <v>0</v>
      </c>
      <c r="E46">
        <v>0</v>
      </c>
      <c r="F46">
        <v>0</v>
      </c>
      <c r="G46">
        <v>0</v>
      </c>
      <c r="H46">
        <v>0</v>
      </c>
      <c r="I46" s="1">
        <v>45427</v>
      </c>
      <c r="J46" s="1">
        <v>45427</v>
      </c>
      <c r="K46" s="1">
        <v>45427</v>
      </c>
      <c r="L46" s="1">
        <v>45427</v>
      </c>
      <c r="M46" s="1">
        <v>45427</v>
      </c>
      <c r="N46" s="5"/>
      <c r="S46" s="6"/>
      <c r="T46" s="5">
        <f t="shared" si="5"/>
        <v>0</v>
      </c>
      <c r="U46" s="10">
        <f t="shared" si="0"/>
        <v>0</v>
      </c>
      <c r="V46" s="10">
        <f t="shared" si="1"/>
        <v>0</v>
      </c>
      <c r="W46" s="10">
        <f t="shared" si="2"/>
        <v>0</v>
      </c>
      <c r="X46" s="6">
        <f t="shared" si="3"/>
        <v>0</v>
      </c>
      <c r="Y46" s="5">
        <f t="shared" si="6"/>
        <v>0</v>
      </c>
      <c r="Z46" s="10">
        <f t="shared" si="7"/>
        <v>0</v>
      </c>
      <c r="AA46" s="10">
        <f t="shared" si="8"/>
        <v>0</v>
      </c>
      <c r="AB46" s="10">
        <f t="shared" si="9"/>
        <v>0</v>
      </c>
      <c r="AC46" s="6">
        <f t="shared" si="10"/>
        <v>0</v>
      </c>
    </row>
    <row r="47" spans="1:29" x14ac:dyDescent="0.25">
      <c r="A47" t="s">
        <v>61</v>
      </c>
      <c r="B47" t="s">
        <v>67</v>
      </c>
      <c r="C47" s="1" t="s">
        <v>3</v>
      </c>
      <c r="D47">
        <v>0</v>
      </c>
      <c r="E47">
        <v>0</v>
      </c>
      <c r="F47">
        <v>0</v>
      </c>
      <c r="G47">
        <v>0</v>
      </c>
      <c r="H47">
        <v>0</v>
      </c>
      <c r="I47" s="1">
        <v>45427</v>
      </c>
      <c r="J47" s="1">
        <v>45427</v>
      </c>
      <c r="K47" s="1">
        <v>45427</v>
      </c>
      <c r="L47" s="1">
        <v>45427</v>
      </c>
      <c r="M47" s="1">
        <v>45427</v>
      </c>
      <c r="N47" s="5"/>
      <c r="S47" s="6"/>
      <c r="T47" s="5">
        <f t="shared" si="5"/>
        <v>0</v>
      </c>
      <c r="U47" s="10">
        <f t="shared" si="0"/>
        <v>0</v>
      </c>
      <c r="V47" s="10">
        <f t="shared" si="1"/>
        <v>0</v>
      </c>
      <c r="W47" s="10">
        <f t="shared" si="2"/>
        <v>0</v>
      </c>
      <c r="X47" s="6">
        <f t="shared" si="3"/>
        <v>0</v>
      </c>
      <c r="Y47" s="5">
        <f t="shared" si="6"/>
        <v>0</v>
      </c>
      <c r="Z47" s="10">
        <f t="shared" si="7"/>
        <v>0</v>
      </c>
      <c r="AA47" s="10">
        <f t="shared" si="8"/>
        <v>0</v>
      </c>
      <c r="AB47" s="10">
        <f t="shared" si="9"/>
        <v>0</v>
      </c>
      <c r="AC47" s="6">
        <f t="shared" si="10"/>
        <v>0</v>
      </c>
    </row>
    <row r="48" spans="1:29" x14ac:dyDescent="0.25">
      <c r="A48" t="s">
        <v>61</v>
      </c>
      <c r="B48" t="s">
        <v>68</v>
      </c>
      <c r="C48" s="1" t="s">
        <v>3</v>
      </c>
      <c r="D48">
        <v>0</v>
      </c>
      <c r="E48">
        <v>0</v>
      </c>
      <c r="F48">
        <v>0</v>
      </c>
      <c r="G48">
        <v>0</v>
      </c>
      <c r="H48">
        <v>0</v>
      </c>
      <c r="I48" s="1">
        <v>45427</v>
      </c>
      <c r="J48" s="1">
        <v>45427</v>
      </c>
      <c r="K48" s="1">
        <v>45427</v>
      </c>
      <c r="L48" s="1">
        <v>45427</v>
      </c>
      <c r="M48" s="1">
        <v>45427</v>
      </c>
      <c r="N48" s="5"/>
      <c r="S48" s="6"/>
      <c r="T48" s="5">
        <f t="shared" si="5"/>
        <v>0</v>
      </c>
      <c r="U48" s="10">
        <f t="shared" si="0"/>
        <v>0</v>
      </c>
      <c r="V48" s="10">
        <f t="shared" si="1"/>
        <v>0</v>
      </c>
      <c r="W48" s="10">
        <f t="shared" si="2"/>
        <v>0</v>
      </c>
      <c r="X48" s="6">
        <f t="shared" si="3"/>
        <v>0</v>
      </c>
      <c r="Y48" s="5">
        <f t="shared" si="6"/>
        <v>0</v>
      </c>
      <c r="Z48" s="10">
        <f t="shared" si="7"/>
        <v>0</v>
      </c>
      <c r="AA48" s="10">
        <f t="shared" si="8"/>
        <v>0</v>
      </c>
      <c r="AB48" s="10">
        <f t="shared" si="9"/>
        <v>0</v>
      </c>
      <c r="AC48" s="6">
        <f t="shared" si="10"/>
        <v>0</v>
      </c>
    </row>
    <row r="49" spans="1:29" x14ac:dyDescent="0.25">
      <c r="A49" t="s">
        <v>61</v>
      </c>
      <c r="B49" t="s">
        <v>69</v>
      </c>
      <c r="C49" s="1" t="s">
        <v>3</v>
      </c>
      <c r="D49">
        <v>0</v>
      </c>
      <c r="E49">
        <v>0</v>
      </c>
      <c r="F49">
        <v>0</v>
      </c>
      <c r="G49">
        <v>0</v>
      </c>
      <c r="H49">
        <v>0</v>
      </c>
      <c r="I49" s="1">
        <v>45427</v>
      </c>
      <c r="J49" s="1">
        <v>45427</v>
      </c>
      <c r="K49" s="1">
        <v>45427</v>
      </c>
      <c r="L49" s="1">
        <v>45427</v>
      </c>
      <c r="M49" s="1">
        <v>45427</v>
      </c>
      <c r="N49" s="5"/>
      <c r="S49" s="6"/>
      <c r="T49" s="5">
        <f t="shared" si="5"/>
        <v>0</v>
      </c>
      <c r="U49" s="10">
        <f t="shared" si="0"/>
        <v>0</v>
      </c>
      <c r="V49" s="10">
        <f t="shared" si="1"/>
        <v>0</v>
      </c>
      <c r="W49" s="10">
        <f t="shared" si="2"/>
        <v>0</v>
      </c>
      <c r="X49" s="6">
        <f t="shared" si="3"/>
        <v>0</v>
      </c>
      <c r="Y49" s="5">
        <f t="shared" si="6"/>
        <v>0</v>
      </c>
      <c r="Z49" s="10">
        <f t="shared" si="7"/>
        <v>0</v>
      </c>
      <c r="AA49" s="10">
        <f t="shared" si="8"/>
        <v>0</v>
      </c>
      <c r="AB49" s="10">
        <f t="shared" si="9"/>
        <v>0</v>
      </c>
      <c r="AC49" s="6">
        <f t="shared" si="10"/>
        <v>0</v>
      </c>
    </row>
    <row r="50" spans="1:29" x14ac:dyDescent="0.25">
      <c r="A50" t="s">
        <v>61</v>
      </c>
      <c r="B50" t="s">
        <v>70</v>
      </c>
      <c r="C50" s="1" t="s">
        <v>3</v>
      </c>
      <c r="D50">
        <v>0</v>
      </c>
      <c r="E50">
        <v>0</v>
      </c>
      <c r="F50">
        <v>0</v>
      </c>
      <c r="G50">
        <v>0</v>
      </c>
      <c r="H50">
        <v>0</v>
      </c>
      <c r="I50" s="1">
        <v>45427</v>
      </c>
      <c r="J50" s="1">
        <v>45427</v>
      </c>
      <c r="K50" s="1">
        <v>45427</v>
      </c>
      <c r="L50" s="1">
        <v>45427</v>
      </c>
      <c r="M50" s="1">
        <v>45427</v>
      </c>
      <c r="N50" s="5"/>
      <c r="S50" s="6"/>
      <c r="T50" s="5">
        <f t="shared" si="5"/>
        <v>0</v>
      </c>
      <c r="U50" s="10">
        <f t="shared" si="0"/>
        <v>0</v>
      </c>
      <c r="V50" s="10">
        <f t="shared" si="1"/>
        <v>0</v>
      </c>
      <c r="W50" s="10">
        <f t="shared" si="2"/>
        <v>0</v>
      </c>
      <c r="X50" s="6">
        <f t="shared" si="3"/>
        <v>0</v>
      </c>
      <c r="Y50" s="5">
        <f t="shared" si="6"/>
        <v>0</v>
      </c>
      <c r="Z50" s="10">
        <f t="shared" si="7"/>
        <v>0</v>
      </c>
      <c r="AA50" s="10">
        <f t="shared" si="8"/>
        <v>0</v>
      </c>
      <c r="AB50" s="10">
        <f t="shared" si="9"/>
        <v>0</v>
      </c>
      <c r="AC50" s="6">
        <f t="shared" si="10"/>
        <v>0</v>
      </c>
    </row>
    <row r="51" spans="1:29" x14ac:dyDescent="0.25">
      <c r="A51" t="s">
        <v>61</v>
      </c>
      <c r="B51" t="s">
        <v>71</v>
      </c>
      <c r="C51" s="1" t="s">
        <v>3</v>
      </c>
      <c r="D51">
        <v>0</v>
      </c>
      <c r="E51">
        <v>0</v>
      </c>
      <c r="F51">
        <v>0</v>
      </c>
      <c r="G51">
        <v>0</v>
      </c>
      <c r="H51">
        <v>0</v>
      </c>
      <c r="I51" s="1">
        <v>45427</v>
      </c>
      <c r="J51" s="1">
        <v>45427</v>
      </c>
      <c r="K51" s="1">
        <v>45427</v>
      </c>
      <c r="L51" s="1">
        <v>45427</v>
      </c>
      <c r="M51" s="1">
        <v>45427</v>
      </c>
      <c r="N51" s="5"/>
      <c r="S51" s="6"/>
      <c r="T51" s="5">
        <f t="shared" si="5"/>
        <v>0</v>
      </c>
      <c r="U51" s="10">
        <f t="shared" si="0"/>
        <v>0</v>
      </c>
      <c r="V51" s="10">
        <f t="shared" si="1"/>
        <v>0</v>
      </c>
      <c r="W51" s="10">
        <f t="shared" si="2"/>
        <v>0</v>
      </c>
      <c r="X51" s="6">
        <f t="shared" si="3"/>
        <v>0</v>
      </c>
      <c r="Y51" s="5">
        <f t="shared" si="6"/>
        <v>0</v>
      </c>
      <c r="Z51" s="10">
        <f t="shared" si="7"/>
        <v>0</v>
      </c>
      <c r="AA51" s="10">
        <f t="shared" si="8"/>
        <v>0</v>
      </c>
      <c r="AB51" s="10">
        <f t="shared" si="9"/>
        <v>0</v>
      </c>
      <c r="AC51" s="6">
        <f t="shared" si="10"/>
        <v>0</v>
      </c>
    </row>
    <row r="52" spans="1:29" x14ac:dyDescent="0.25">
      <c r="A52" t="s">
        <v>61</v>
      </c>
      <c r="B52" t="s">
        <v>72</v>
      </c>
      <c r="C52" s="1" t="s">
        <v>3</v>
      </c>
      <c r="D52">
        <v>0</v>
      </c>
      <c r="E52">
        <v>0</v>
      </c>
      <c r="F52">
        <v>5</v>
      </c>
      <c r="G52">
        <v>31</v>
      </c>
      <c r="H52">
        <v>0</v>
      </c>
      <c r="I52" s="1">
        <v>45427</v>
      </c>
      <c r="J52" s="1">
        <v>45427</v>
      </c>
      <c r="K52" s="1">
        <v>45432</v>
      </c>
      <c r="L52" s="1">
        <v>45458</v>
      </c>
      <c r="M52" s="1">
        <v>45427</v>
      </c>
      <c r="N52" s="5">
        <v>6.8000001907348633</v>
      </c>
      <c r="Q52">
        <v>6.3600001335144043</v>
      </c>
      <c r="R52">
        <v>7</v>
      </c>
      <c r="S52" s="6"/>
      <c r="T52" s="5">
        <f t="shared" si="5"/>
        <v>0</v>
      </c>
      <c r="U52" s="10">
        <f t="shared" si="0"/>
        <v>0</v>
      </c>
      <c r="V52" s="10">
        <f t="shared" si="1"/>
        <v>-6.4705888952763306</v>
      </c>
      <c r="W52" s="10">
        <f t="shared" si="2"/>
        <v>2.941173583166079</v>
      </c>
      <c r="X52" s="6">
        <f t="shared" si="3"/>
        <v>0</v>
      </c>
      <c r="Y52" s="5">
        <f t="shared" si="6"/>
        <v>0</v>
      </c>
      <c r="Z52" s="10">
        <f t="shared" si="7"/>
        <v>0</v>
      </c>
      <c r="AA52" s="10">
        <f t="shared" si="8"/>
        <v>-64.705888952763303</v>
      </c>
      <c r="AB52" s="10">
        <f t="shared" si="9"/>
        <v>29.411735831660788</v>
      </c>
      <c r="AC52" s="6">
        <f t="shared" si="10"/>
        <v>0</v>
      </c>
    </row>
    <row r="53" spans="1:29" x14ac:dyDescent="0.25">
      <c r="A53" t="s">
        <v>61</v>
      </c>
      <c r="B53" t="s">
        <v>73</v>
      </c>
      <c r="C53" s="1" t="s">
        <v>3</v>
      </c>
      <c r="D53">
        <v>0</v>
      </c>
      <c r="E53">
        <v>0</v>
      </c>
      <c r="F53">
        <v>0</v>
      </c>
      <c r="G53">
        <v>0</v>
      </c>
      <c r="H53">
        <v>0</v>
      </c>
      <c r="I53" s="1">
        <v>45427</v>
      </c>
      <c r="J53" s="1">
        <v>45427</v>
      </c>
      <c r="K53" s="1">
        <v>45427</v>
      </c>
      <c r="L53" s="1">
        <v>45427</v>
      </c>
      <c r="M53" s="1">
        <v>45427</v>
      </c>
      <c r="N53" s="5"/>
      <c r="S53" s="6"/>
      <c r="T53" s="5">
        <f t="shared" si="5"/>
        <v>0</v>
      </c>
      <c r="U53" s="10">
        <f t="shared" si="0"/>
        <v>0</v>
      </c>
      <c r="V53" s="10">
        <f t="shared" si="1"/>
        <v>0</v>
      </c>
      <c r="W53" s="10">
        <f t="shared" si="2"/>
        <v>0</v>
      </c>
      <c r="X53" s="6">
        <f t="shared" si="3"/>
        <v>0</v>
      </c>
      <c r="Y53" s="5">
        <f t="shared" si="6"/>
        <v>0</v>
      </c>
      <c r="Z53" s="10">
        <f t="shared" si="7"/>
        <v>0</v>
      </c>
      <c r="AA53" s="10">
        <f t="shared" si="8"/>
        <v>0</v>
      </c>
      <c r="AB53" s="10">
        <f t="shared" si="9"/>
        <v>0</v>
      </c>
      <c r="AC53" s="6">
        <f t="shared" si="10"/>
        <v>0</v>
      </c>
    </row>
    <row r="54" spans="1:29" x14ac:dyDescent="0.25">
      <c r="A54" t="s">
        <v>61</v>
      </c>
      <c r="B54" t="s">
        <v>73</v>
      </c>
      <c r="C54" s="1" t="s">
        <v>3</v>
      </c>
      <c r="D54">
        <v>0</v>
      </c>
      <c r="E54">
        <v>0</v>
      </c>
      <c r="F54">
        <v>0</v>
      </c>
      <c r="G54">
        <v>0</v>
      </c>
      <c r="H54">
        <v>0</v>
      </c>
      <c r="I54" s="1">
        <v>45427</v>
      </c>
      <c r="J54" s="1">
        <v>45427</v>
      </c>
      <c r="K54" s="1">
        <v>45427</v>
      </c>
      <c r="L54" s="1">
        <v>45427</v>
      </c>
      <c r="M54" s="1">
        <v>45427</v>
      </c>
      <c r="N54" s="5"/>
      <c r="S54" s="6"/>
      <c r="T54" s="5">
        <f t="shared" si="5"/>
        <v>0</v>
      </c>
      <c r="U54" s="10">
        <f t="shared" si="0"/>
        <v>0</v>
      </c>
      <c r="V54" s="10">
        <f t="shared" si="1"/>
        <v>0</v>
      </c>
      <c r="W54" s="10">
        <f t="shared" si="2"/>
        <v>0</v>
      </c>
      <c r="X54" s="6">
        <f t="shared" si="3"/>
        <v>0</v>
      </c>
      <c r="Y54" s="5">
        <f t="shared" si="6"/>
        <v>0</v>
      </c>
      <c r="Z54" s="10">
        <f t="shared" si="7"/>
        <v>0</v>
      </c>
      <c r="AA54" s="10">
        <f t="shared" si="8"/>
        <v>0</v>
      </c>
      <c r="AB54" s="10">
        <f t="shared" si="9"/>
        <v>0</v>
      </c>
      <c r="AC54" s="6">
        <f t="shared" si="10"/>
        <v>0</v>
      </c>
    </row>
    <row r="55" spans="1:29" x14ac:dyDescent="0.25">
      <c r="A55" t="s">
        <v>61</v>
      </c>
      <c r="B55" t="s">
        <v>71</v>
      </c>
      <c r="C55" s="1" t="s">
        <v>3</v>
      </c>
      <c r="D55">
        <v>0</v>
      </c>
      <c r="E55">
        <v>0</v>
      </c>
      <c r="F55">
        <v>0</v>
      </c>
      <c r="G55">
        <v>0</v>
      </c>
      <c r="H55">
        <v>0</v>
      </c>
      <c r="I55" s="1">
        <v>45427</v>
      </c>
      <c r="J55" s="1">
        <v>45427</v>
      </c>
      <c r="K55" s="1">
        <v>45427</v>
      </c>
      <c r="L55" s="1">
        <v>45427</v>
      </c>
      <c r="M55" s="1">
        <v>45427</v>
      </c>
      <c r="N55" s="5"/>
      <c r="S55" s="6"/>
      <c r="T55" s="5">
        <f t="shared" si="5"/>
        <v>0</v>
      </c>
      <c r="U55" s="10">
        <f t="shared" si="0"/>
        <v>0</v>
      </c>
      <c r="V55" s="10">
        <f t="shared" si="1"/>
        <v>0</v>
      </c>
      <c r="W55" s="10">
        <f t="shared" si="2"/>
        <v>0</v>
      </c>
      <c r="X55" s="6">
        <f t="shared" si="3"/>
        <v>0</v>
      </c>
      <c r="Y55" s="5">
        <f t="shared" si="6"/>
        <v>0</v>
      </c>
      <c r="Z55" s="10">
        <f t="shared" si="7"/>
        <v>0</v>
      </c>
      <c r="AA55" s="10">
        <f t="shared" si="8"/>
        <v>0</v>
      </c>
      <c r="AB55" s="10">
        <f t="shared" si="9"/>
        <v>0</v>
      </c>
      <c r="AC55" s="6">
        <f t="shared" si="10"/>
        <v>0</v>
      </c>
    </row>
    <row r="56" spans="1:29" x14ac:dyDescent="0.25">
      <c r="A56" t="s">
        <v>61</v>
      </c>
      <c r="B56" t="s">
        <v>74</v>
      </c>
      <c r="C56" s="1" t="s">
        <v>3</v>
      </c>
      <c r="D56">
        <v>0</v>
      </c>
      <c r="E56">
        <v>0</v>
      </c>
      <c r="F56">
        <v>0</v>
      </c>
      <c r="G56">
        <v>38</v>
      </c>
      <c r="H56">
        <v>31</v>
      </c>
      <c r="I56" s="1">
        <v>45427</v>
      </c>
      <c r="J56" s="1">
        <v>45427</v>
      </c>
      <c r="K56" s="1">
        <v>45427</v>
      </c>
      <c r="L56" s="1">
        <v>45465</v>
      </c>
      <c r="M56" s="1">
        <v>45458</v>
      </c>
      <c r="N56" s="5">
        <v>14.60999965667725</v>
      </c>
      <c r="R56">
        <v>15.939999580383301</v>
      </c>
      <c r="S56" s="6">
        <v>16.170000076293949</v>
      </c>
      <c r="T56" s="5">
        <f t="shared" si="5"/>
        <v>0</v>
      </c>
      <c r="U56" s="10">
        <f t="shared" si="0"/>
        <v>0</v>
      </c>
      <c r="V56" s="10">
        <f t="shared" si="1"/>
        <v>0</v>
      </c>
      <c r="W56" s="10">
        <f t="shared" si="2"/>
        <v>9.1033535589317935</v>
      </c>
      <c r="X56" s="6">
        <f t="shared" si="3"/>
        <v>10.677621192850118</v>
      </c>
      <c r="Y56" s="5">
        <f t="shared" si="6"/>
        <v>0</v>
      </c>
      <c r="Z56" s="10">
        <f t="shared" si="7"/>
        <v>0</v>
      </c>
      <c r="AA56" s="10">
        <f t="shared" si="8"/>
        <v>0</v>
      </c>
      <c r="AB56" s="10">
        <f t="shared" si="9"/>
        <v>91.03353558931795</v>
      </c>
      <c r="AC56" s="6">
        <f t="shared" si="10"/>
        <v>106.77621192850118</v>
      </c>
    </row>
    <row r="57" spans="1:29" x14ac:dyDescent="0.25">
      <c r="A57" t="s">
        <v>61</v>
      </c>
      <c r="B57" t="s">
        <v>75</v>
      </c>
      <c r="C57" s="1" t="s">
        <v>3</v>
      </c>
      <c r="D57">
        <v>0</v>
      </c>
      <c r="E57">
        <v>0</v>
      </c>
      <c r="F57">
        <v>0</v>
      </c>
      <c r="G57">
        <v>26</v>
      </c>
      <c r="H57">
        <v>12</v>
      </c>
      <c r="I57" s="1">
        <v>45427</v>
      </c>
      <c r="J57" s="1">
        <v>45427</v>
      </c>
      <c r="K57" s="1">
        <v>45427</v>
      </c>
      <c r="L57" s="1">
        <v>45453</v>
      </c>
      <c r="M57" s="1">
        <v>45439</v>
      </c>
      <c r="N57" s="5">
        <v>185.16518667234081</v>
      </c>
      <c r="R57">
        <v>205.21998817081791</v>
      </c>
      <c r="S57" s="6">
        <v>198.69129100120591</v>
      </c>
      <c r="T57" s="5">
        <f t="shared" si="5"/>
        <v>0</v>
      </c>
      <c r="U57" s="10">
        <f t="shared" si="0"/>
        <v>0</v>
      </c>
      <c r="V57" s="10">
        <f t="shared" si="1"/>
        <v>0</v>
      </c>
      <c r="W57" s="10">
        <f t="shared" si="2"/>
        <v>10.830762444543684</v>
      </c>
      <c r="X57" s="6">
        <f t="shared" si="3"/>
        <v>7.3048852065265457</v>
      </c>
      <c r="Y57" s="5">
        <f t="shared" si="6"/>
        <v>0</v>
      </c>
      <c r="Z57" s="10">
        <f t="shared" si="7"/>
        <v>0</v>
      </c>
      <c r="AA57" s="10">
        <f t="shared" si="8"/>
        <v>0</v>
      </c>
      <c r="AB57" s="10">
        <f t="shared" si="9"/>
        <v>108.30762444543683</v>
      </c>
      <c r="AC57" s="6">
        <f t="shared" si="10"/>
        <v>73.04885206526545</v>
      </c>
    </row>
    <row r="58" spans="1:29" x14ac:dyDescent="0.25">
      <c r="A58" t="s">
        <v>61</v>
      </c>
      <c r="B58" t="s">
        <v>75</v>
      </c>
      <c r="C58" s="1" t="s">
        <v>3</v>
      </c>
      <c r="D58">
        <v>0</v>
      </c>
      <c r="E58">
        <v>0</v>
      </c>
      <c r="F58">
        <v>0</v>
      </c>
      <c r="G58">
        <v>26</v>
      </c>
      <c r="H58">
        <v>12</v>
      </c>
      <c r="I58" s="1">
        <v>45427</v>
      </c>
      <c r="J58" s="1">
        <v>45427</v>
      </c>
      <c r="K58" s="1">
        <v>45427</v>
      </c>
      <c r="L58" s="1">
        <v>45453</v>
      </c>
      <c r="M58" s="1">
        <v>45439</v>
      </c>
      <c r="N58" s="5">
        <v>185.16518667234081</v>
      </c>
      <c r="R58">
        <v>205.21998817081791</v>
      </c>
      <c r="S58" s="6">
        <v>198.69129100120591</v>
      </c>
      <c r="T58" s="5">
        <f t="shared" si="5"/>
        <v>0</v>
      </c>
      <c r="U58" s="10">
        <f t="shared" si="0"/>
        <v>0</v>
      </c>
      <c r="V58" s="10">
        <f t="shared" si="1"/>
        <v>0</v>
      </c>
      <c r="W58" s="10">
        <f t="shared" si="2"/>
        <v>10.830762444543684</v>
      </c>
      <c r="X58" s="6">
        <f t="shared" si="3"/>
        <v>7.3048852065265457</v>
      </c>
      <c r="Y58" s="5">
        <f t="shared" si="6"/>
        <v>0</v>
      </c>
      <c r="Z58" s="10">
        <f t="shared" si="7"/>
        <v>0</v>
      </c>
      <c r="AA58" s="10">
        <f t="shared" si="8"/>
        <v>0</v>
      </c>
      <c r="AB58" s="10">
        <f t="shared" si="9"/>
        <v>108.30762444543683</v>
      </c>
      <c r="AC58" s="6">
        <f t="shared" si="10"/>
        <v>73.04885206526545</v>
      </c>
    </row>
    <row r="59" spans="1:29" x14ac:dyDescent="0.25">
      <c r="A59" t="s">
        <v>61</v>
      </c>
      <c r="B59" t="s">
        <v>73</v>
      </c>
      <c r="C59" s="1" t="s">
        <v>3</v>
      </c>
      <c r="D59">
        <v>0</v>
      </c>
      <c r="E59">
        <v>0</v>
      </c>
      <c r="F59">
        <v>0</v>
      </c>
      <c r="G59">
        <v>0</v>
      </c>
      <c r="H59">
        <v>0</v>
      </c>
      <c r="I59" s="1">
        <v>45427</v>
      </c>
      <c r="J59" s="1">
        <v>45427</v>
      </c>
      <c r="K59" s="1">
        <v>45427</v>
      </c>
      <c r="L59" s="1">
        <v>45427</v>
      </c>
      <c r="M59" s="1">
        <v>45427</v>
      </c>
      <c r="N59" s="5"/>
      <c r="S59" s="6"/>
      <c r="T59" s="5">
        <f t="shared" si="5"/>
        <v>0</v>
      </c>
      <c r="U59" s="10">
        <f t="shared" si="0"/>
        <v>0</v>
      </c>
      <c r="V59" s="10">
        <f t="shared" si="1"/>
        <v>0</v>
      </c>
      <c r="W59" s="10">
        <f t="shared" si="2"/>
        <v>0</v>
      </c>
      <c r="X59" s="6">
        <f t="shared" si="3"/>
        <v>0</v>
      </c>
      <c r="Y59" s="5">
        <f t="shared" si="6"/>
        <v>0</v>
      </c>
      <c r="Z59" s="10">
        <f t="shared" si="7"/>
        <v>0</v>
      </c>
      <c r="AA59" s="10">
        <f t="shared" si="8"/>
        <v>0</v>
      </c>
      <c r="AB59" s="10">
        <f t="shared" si="9"/>
        <v>0</v>
      </c>
      <c r="AC59" s="6">
        <f t="shared" si="10"/>
        <v>0</v>
      </c>
    </row>
    <row r="60" spans="1:29" x14ac:dyDescent="0.25">
      <c r="A60" t="s">
        <v>61</v>
      </c>
      <c r="B60" t="s">
        <v>73</v>
      </c>
      <c r="C60" s="1" t="s">
        <v>3</v>
      </c>
      <c r="D60">
        <v>0</v>
      </c>
      <c r="E60">
        <v>0</v>
      </c>
      <c r="F60">
        <v>0</v>
      </c>
      <c r="G60">
        <v>0</v>
      </c>
      <c r="H60">
        <v>0</v>
      </c>
      <c r="I60" s="1">
        <v>45427</v>
      </c>
      <c r="J60" s="1">
        <v>45427</v>
      </c>
      <c r="K60" s="1">
        <v>45427</v>
      </c>
      <c r="L60" s="1">
        <v>45427</v>
      </c>
      <c r="M60" s="1">
        <v>45427</v>
      </c>
      <c r="N60" s="5"/>
      <c r="S60" s="6"/>
      <c r="T60" s="5">
        <f t="shared" si="5"/>
        <v>0</v>
      </c>
      <c r="U60" s="10">
        <f t="shared" si="0"/>
        <v>0</v>
      </c>
      <c r="V60" s="10">
        <f t="shared" si="1"/>
        <v>0</v>
      </c>
      <c r="W60" s="10">
        <f t="shared" si="2"/>
        <v>0</v>
      </c>
      <c r="X60" s="6">
        <f t="shared" si="3"/>
        <v>0</v>
      </c>
      <c r="Y60" s="5">
        <f t="shared" si="6"/>
        <v>0</v>
      </c>
      <c r="Z60" s="10">
        <f t="shared" si="7"/>
        <v>0</v>
      </c>
      <c r="AA60" s="10">
        <f t="shared" si="8"/>
        <v>0</v>
      </c>
      <c r="AB60" s="10">
        <f t="shared" si="9"/>
        <v>0</v>
      </c>
      <c r="AC60" s="6">
        <f t="shared" si="10"/>
        <v>0</v>
      </c>
    </row>
    <row r="61" spans="1:29" x14ac:dyDescent="0.25">
      <c r="A61" t="s">
        <v>61</v>
      </c>
      <c r="B61" t="s">
        <v>76</v>
      </c>
      <c r="C61" s="1" t="s">
        <v>3</v>
      </c>
      <c r="D61">
        <v>0</v>
      </c>
      <c r="E61">
        <v>0</v>
      </c>
      <c r="F61">
        <v>0</v>
      </c>
      <c r="G61">
        <v>0</v>
      </c>
      <c r="H61">
        <v>0</v>
      </c>
      <c r="I61" s="1">
        <v>45427</v>
      </c>
      <c r="J61" s="1">
        <v>45427</v>
      </c>
      <c r="K61" s="1">
        <v>45427</v>
      </c>
      <c r="L61" s="1">
        <v>45427</v>
      </c>
      <c r="M61" s="1">
        <v>45427</v>
      </c>
      <c r="N61" s="5"/>
      <c r="S61" s="6"/>
      <c r="T61" s="5">
        <f t="shared" si="5"/>
        <v>0</v>
      </c>
      <c r="U61" s="10">
        <f t="shared" si="0"/>
        <v>0</v>
      </c>
      <c r="V61" s="10">
        <f t="shared" si="1"/>
        <v>0</v>
      </c>
      <c r="W61" s="10">
        <f t="shared" si="2"/>
        <v>0</v>
      </c>
      <c r="X61" s="6">
        <f t="shared" si="3"/>
        <v>0</v>
      </c>
      <c r="Y61" s="5">
        <f t="shared" si="6"/>
        <v>0</v>
      </c>
      <c r="Z61" s="10">
        <f t="shared" si="7"/>
        <v>0</v>
      </c>
      <c r="AA61" s="10">
        <f t="shared" si="8"/>
        <v>0</v>
      </c>
      <c r="AB61" s="10">
        <f t="shared" si="9"/>
        <v>0</v>
      </c>
      <c r="AC61" s="6">
        <f t="shared" si="10"/>
        <v>0</v>
      </c>
    </row>
    <row r="62" spans="1:29" x14ac:dyDescent="0.25">
      <c r="A62" t="s">
        <v>61</v>
      </c>
      <c r="B62" t="s">
        <v>77</v>
      </c>
      <c r="C62" s="1" t="s">
        <v>3</v>
      </c>
      <c r="D62">
        <v>0</v>
      </c>
      <c r="E62">
        <v>0</v>
      </c>
      <c r="F62">
        <v>0</v>
      </c>
      <c r="G62">
        <v>0</v>
      </c>
      <c r="H62">
        <v>0</v>
      </c>
      <c r="I62" s="1">
        <v>45427</v>
      </c>
      <c r="J62" s="1">
        <v>45427</v>
      </c>
      <c r="K62" s="1">
        <v>45427</v>
      </c>
      <c r="L62" s="1">
        <v>45427</v>
      </c>
      <c r="M62" s="1">
        <v>45427</v>
      </c>
      <c r="N62" s="5"/>
      <c r="S62" s="6"/>
      <c r="T62" s="5">
        <f t="shared" si="5"/>
        <v>0</v>
      </c>
      <c r="U62" s="10">
        <f t="shared" si="0"/>
        <v>0</v>
      </c>
      <c r="V62" s="10">
        <f t="shared" si="1"/>
        <v>0</v>
      </c>
      <c r="W62" s="10">
        <f t="shared" si="2"/>
        <v>0</v>
      </c>
      <c r="X62" s="6">
        <f t="shared" si="3"/>
        <v>0</v>
      </c>
      <c r="Y62" s="5">
        <f t="shared" si="6"/>
        <v>0</v>
      </c>
      <c r="Z62" s="10">
        <f t="shared" si="7"/>
        <v>0</v>
      </c>
      <c r="AA62" s="10">
        <f t="shared" si="8"/>
        <v>0</v>
      </c>
      <c r="AB62" s="10">
        <f t="shared" si="9"/>
        <v>0</v>
      </c>
      <c r="AC62" s="6">
        <f t="shared" si="10"/>
        <v>0</v>
      </c>
    </row>
    <row r="63" spans="1:29" x14ac:dyDescent="0.25">
      <c r="A63" t="s">
        <v>61</v>
      </c>
      <c r="B63" t="s">
        <v>78</v>
      </c>
      <c r="C63" s="1" t="s">
        <v>3</v>
      </c>
      <c r="D63">
        <v>0</v>
      </c>
      <c r="E63">
        <v>0</v>
      </c>
      <c r="F63">
        <v>0</v>
      </c>
      <c r="G63">
        <v>0</v>
      </c>
      <c r="H63">
        <v>0</v>
      </c>
      <c r="I63" s="1">
        <v>45427</v>
      </c>
      <c r="J63" s="1">
        <v>45427</v>
      </c>
      <c r="K63" s="1">
        <v>45427</v>
      </c>
      <c r="L63" s="1">
        <v>45427</v>
      </c>
      <c r="M63" s="1">
        <v>45427</v>
      </c>
      <c r="N63" s="5"/>
      <c r="S63" s="6"/>
      <c r="T63" s="5">
        <f t="shared" si="5"/>
        <v>0</v>
      </c>
      <c r="U63" s="10">
        <f t="shared" si="0"/>
        <v>0</v>
      </c>
      <c r="V63" s="10">
        <f t="shared" si="1"/>
        <v>0</v>
      </c>
      <c r="W63" s="10">
        <f t="shared" si="2"/>
        <v>0</v>
      </c>
      <c r="X63" s="6">
        <f t="shared" si="3"/>
        <v>0</v>
      </c>
      <c r="Y63" s="5">
        <f t="shared" si="6"/>
        <v>0</v>
      </c>
      <c r="Z63" s="10">
        <f t="shared" si="7"/>
        <v>0</v>
      </c>
      <c r="AA63" s="10">
        <f t="shared" si="8"/>
        <v>0</v>
      </c>
      <c r="AB63" s="10">
        <f t="shared" si="9"/>
        <v>0</v>
      </c>
      <c r="AC63" s="6">
        <f t="shared" si="10"/>
        <v>0</v>
      </c>
    </row>
    <row r="64" spans="1:29" x14ac:dyDescent="0.25">
      <c r="A64" t="s">
        <v>61</v>
      </c>
      <c r="B64" t="s">
        <v>23</v>
      </c>
      <c r="C64" s="1" t="s">
        <v>3</v>
      </c>
      <c r="D64">
        <v>0</v>
      </c>
      <c r="E64">
        <v>0</v>
      </c>
      <c r="F64">
        <v>0</v>
      </c>
      <c r="G64">
        <v>0</v>
      </c>
      <c r="H64">
        <v>0</v>
      </c>
      <c r="I64" s="1">
        <v>45427</v>
      </c>
      <c r="J64" s="1">
        <v>45427</v>
      </c>
      <c r="K64" s="1">
        <v>45427</v>
      </c>
      <c r="L64" s="1">
        <v>45427</v>
      </c>
      <c r="M64" s="1">
        <v>45427</v>
      </c>
      <c r="N64" s="5"/>
      <c r="S64" s="6"/>
      <c r="T64" s="5">
        <f t="shared" si="5"/>
        <v>0</v>
      </c>
      <c r="U64" s="10">
        <f t="shared" si="0"/>
        <v>0</v>
      </c>
      <c r="V64" s="10">
        <f t="shared" si="1"/>
        <v>0</v>
      </c>
      <c r="W64" s="10">
        <f t="shared" si="2"/>
        <v>0</v>
      </c>
      <c r="X64" s="6">
        <f t="shared" si="3"/>
        <v>0</v>
      </c>
      <c r="Y64" s="5">
        <f t="shared" si="6"/>
        <v>0</v>
      </c>
      <c r="Z64" s="10">
        <f t="shared" si="7"/>
        <v>0</v>
      </c>
      <c r="AA64" s="10">
        <f t="shared" si="8"/>
        <v>0</v>
      </c>
      <c r="AB64" s="10">
        <f t="shared" si="9"/>
        <v>0</v>
      </c>
      <c r="AC64" s="6">
        <f t="shared" si="10"/>
        <v>0</v>
      </c>
    </row>
    <row r="65" spans="1:29" x14ac:dyDescent="0.25">
      <c r="A65" t="s">
        <v>61</v>
      </c>
      <c r="B65" t="s">
        <v>79</v>
      </c>
      <c r="C65" s="1" t="s">
        <v>3</v>
      </c>
      <c r="D65">
        <v>0</v>
      </c>
      <c r="E65">
        <v>0</v>
      </c>
      <c r="F65">
        <v>0</v>
      </c>
      <c r="G65">
        <v>0</v>
      </c>
      <c r="H65">
        <v>0</v>
      </c>
      <c r="I65" s="1">
        <v>45427</v>
      </c>
      <c r="J65" s="1">
        <v>45427</v>
      </c>
      <c r="K65" s="1">
        <v>45427</v>
      </c>
      <c r="L65" s="1">
        <v>45427</v>
      </c>
      <c r="M65" s="1">
        <v>45427</v>
      </c>
      <c r="N65" s="5"/>
      <c r="S65" s="6"/>
      <c r="T65" s="5">
        <f t="shared" si="5"/>
        <v>0</v>
      </c>
      <c r="U65" s="10">
        <f t="shared" si="0"/>
        <v>0</v>
      </c>
      <c r="V65" s="10">
        <f t="shared" si="1"/>
        <v>0</v>
      </c>
      <c r="W65" s="10">
        <f t="shared" si="2"/>
        <v>0</v>
      </c>
      <c r="X65" s="6">
        <f t="shared" si="3"/>
        <v>0</v>
      </c>
      <c r="Y65" s="5">
        <f t="shared" si="6"/>
        <v>0</v>
      </c>
      <c r="Z65" s="10">
        <f t="shared" si="7"/>
        <v>0</v>
      </c>
      <c r="AA65" s="10">
        <f t="shared" si="8"/>
        <v>0</v>
      </c>
      <c r="AB65" s="10">
        <f t="shared" si="9"/>
        <v>0</v>
      </c>
      <c r="AC65" s="6">
        <f t="shared" si="10"/>
        <v>0</v>
      </c>
    </row>
    <row r="66" spans="1:29" x14ac:dyDescent="0.25">
      <c r="A66" t="s">
        <v>61</v>
      </c>
      <c r="B66" t="s">
        <v>73</v>
      </c>
      <c r="C66" s="1" t="s">
        <v>3</v>
      </c>
      <c r="D66">
        <v>0</v>
      </c>
      <c r="E66">
        <v>0</v>
      </c>
      <c r="F66">
        <v>0</v>
      </c>
      <c r="G66">
        <v>0</v>
      </c>
      <c r="H66">
        <v>0</v>
      </c>
      <c r="I66" s="1">
        <v>45427</v>
      </c>
      <c r="J66" s="1">
        <v>45427</v>
      </c>
      <c r="K66" s="1">
        <v>45427</v>
      </c>
      <c r="L66" s="1">
        <v>45427</v>
      </c>
      <c r="M66" s="1">
        <v>45427</v>
      </c>
      <c r="N66" s="5"/>
      <c r="S66" s="6"/>
      <c r="T66" s="5">
        <f t="shared" ref="T66:T129" si="11">IF((ISBLANK(O66)),0,((O66/$N66)-1)*100)</f>
        <v>0</v>
      </c>
      <c r="U66" s="10">
        <f t="shared" ref="U66:U129" si="12">IF((ISBLANK(P66)),0,((P66/$N66)-1)*100)</f>
        <v>0</v>
      </c>
      <c r="V66" s="10">
        <f t="shared" ref="V66:V129" si="13">IF((ISBLANK(Q66)),0,((Q66/$N66)-1)*100)</f>
        <v>0</v>
      </c>
      <c r="W66" s="10">
        <f t="shared" ref="W66:W129" si="14">IF((ISBLANK(R66)),0,((R66/$N66)-1)*100)</f>
        <v>0</v>
      </c>
      <c r="X66" s="6">
        <f t="shared" ref="X66:X129" si="15">IF((ISBLANK(S66)),0,((S66/$N66)-1)*100)</f>
        <v>0</v>
      </c>
      <c r="Y66" s="5">
        <f t="shared" si="6"/>
        <v>0</v>
      </c>
      <c r="Z66" s="10">
        <f t="shared" si="7"/>
        <v>0</v>
      </c>
      <c r="AA66" s="10">
        <f t="shared" si="8"/>
        <v>0</v>
      </c>
      <c r="AB66" s="10">
        <f t="shared" si="9"/>
        <v>0</v>
      </c>
      <c r="AC66" s="6">
        <f t="shared" si="10"/>
        <v>0</v>
      </c>
    </row>
    <row r="67" spans="1:29" x14ac:dyDescent="0.25">
      <c r="A67" t="s">
        <v>61</v>
      </c>
      <c r="B67" t="s">
        <v>80</v>
      </c>
      <c r="C67" s="1" t="s">
        <v>3</v>
      </c>
      <c r="D67">
        <v>0</v>
      </c>
      <c r="E67">
        <v>0</v>
      </c>
      <c r="F67">
        <v>0</v>
      </c>
      <c r="G67">
        <v>0</v>
      </c>
      <c r="H67">
        <v>0</v>
      </c>
      <c r="I67" s="1">
        <v>45427</v>
      </c>
      <c r="J67" s="1">
        <v>45427</v>
      </c>
      <c r="K67" s="1">
        <v>45427</v>
      </c>
      <c r="L67" s="1">
        <v>45427</v>
      </c>
      <c r="M67" s="1">
        <v>45427</v>
      </c>
      <c r="N67" s="5"/>
      <c r="S67" s="6"/>
      <c r="T67" s="5">
        <f t="shared" si="11"/>
        <v>0</v>
      </c>
      <c r="U67" s="10">
        <f t="shared" si="12"/>
        <v>0</v>
      </c>
      <c r="V67" s="10">
        <f t="shared" si="13"/>
        <v>0</v>
      </c>
      <c r="W67" s="10">
        <f t="shared" si="14"/>
        <v>0</v>
      </c>
      <c r="X67" s="6">
        <f t="shared" si="15"/>
        <v>0</v>
      </c>
      <c r="Y67" s="5">
        <f t="shared" ref="Y67:Y130" si="16">1000 * T67/100</f>
        <v>0</v>
      </c>
      <c r="Z67" s="10">
        <f t="shared" ref="Z67:Z130" si="17">1000 * U67/100</f>
        <v>0</v>
      </c>
      <c r="AA67" s="10">
        <f t="shared" ref="AA67:AA130" si="18">1000 * V67/100</f>
        <v>0</v>
      </c>
      <c r="AB67" s="10">
        <f t="shared" ref="AB67:AB130" si="19">1000 * W67/100</f>
        <v>0</v>
      </c>
      <c r="AC67" s="6">
        <f t="shared" ref="AC67:AC130" si="20">1000 * X67/100</f>
        <v>0</v>
      </c>
    </row>
    <row r="68" spans="1:29" x14ac:dyDescent="0.25">
      <c r="A68" t="s">
        <v>61</v>
      </c>
      <c r="B68" t="s">
        <v>81</v>
      </c>
      <c r="C68" s="1" t="s">
        <v>3</v>
      </c>
      <c r="D68">
        <v>0</v>
      </c>
      <c r="E68">
        <v>33</v>
      </c>
      <c r="F68">
        <v>0</v>
      </c>
      <c r="G68">
        <v>0</v>
      </c>
      <c r="H68">
        <v>0</v>
      </c>
      <c r="I68" s="1">
        <v>45427</v>
      </c>
      <c r="J68" s="1">
        <v>45460</v>
      </c>
      <c r="K68" s="1">
        <v>45427</v>
      </c>
      <c r="L68" s="1">
        <v>45427</v>
      </c>
      <c r="M68" s="1">
        <v>45427</v>
      </c>
      <c r="N68" s="5">
        <v>176.63768528572319</v>
      </c>
      <c r="P68">
        <v>160.98158931656809</v>
      </c>
      <c r="S68" s="6"/>
      <c r="T68" s="5">
        <f t="shared" si="11"/>
        <v>0</v>
      </c>
      <c r="U68" s="10">
        <f t="shared" si="12"/>
        <v>-8.8633951151648844</v>
      </c>
      <c r="V68" s="10">
        <f t="shared" si="13"/>
        <v>0</v>
      </c>
      <c r="W68" s="10">
        <f t="shared" si="14"/>
        <v>0</v>
      </c>
      <c r="X68" s="6">
        <f t="shared" si="15"/>
        <v>0</v>
      </c>
      <c r="Y68" s="5">
        <f t="shared" si="16"/>
        <v>0</v>
      </c>
      <c r="Z68" s="10">
        <f t="shared" si="17"/>
        <v>-88.633951151648859</v>
      </c>
      <c r="AA68" s="10">
        <f t="shared" si="18"/>
        <v>0</v>
      </c>
      <c r="AB68" s="10">
        <f t="shared" si="19"/>
        <v>0</v>
      </c>
      <c r="AC68" s="6">
        <f t="shared" si="20"/>
        <v>0</v>
      </c>
    </row>
    <row r="69" spans="1:29" x14ac:dyDescent="0.25">
      <c r="A69" t="s">
        <v>61</v>
      </c>
      <c r="B69" t="s">
        <v>82</v>
      </c>
      <c r="C69" s="1" t="s">
        <v>3</v>
      </c>
      <c r="D69">
        <v>0</v>
      </c>
      <c r="E69">
        <v>0</v>
      </c>
      <c r="F69">
        <v>0</v>
      </c>
      <c r="G69">
        <v>0</v>
      </c>
      <c r="H69">
        <v>0</v>
      </c>
      <c r="I69" s="1">
        <v>45427</v>
      </c>
      <c r="J69" s="1">
        <v>45427</v>
      </c>
      <c r="K69" s="1">
        <v>45427</v>
      </c>
      <c r="L69" s="1">
        <v>45427</v>
      </c>
      <c r="M69" s="1">
        <v>45427</v>
      </c>
      <c r="N69" s="5"/>
      <c r="S69" s="6"/>
      <c r="T69" s="5">
        <f t="shared" si="11"/>
        <v>0</v>
      </c>
      <c r="U69" s="10">
        <f t="shared" si="12"/>
        <v>0</v>
      </c>
      <c r="V69" s="10">
        <f t="shared" si="13"/>
        <v>0</v>
      </c>
      <c r="W69" s="10">
        <f t="shared" si="14"/>
        <v>0</v>
      </c>
      <c r="X69" s="6">
        <f t="shared" si="15"/>
        <v>0</v>
      </c>
      <c r="Y69" s="5">
        <f t="shared" si="16"/>
        <v>0</v>
      </c>
      <c r="Z69" s="10">
        <f t="shared" si="17"/>
        <v>0</v>
      </c>
      <c r="AA69" s="10">
        <f t="shared" si="18"/>
        <v>0</v>
      </c>
      <c r="AB69" s="10">
        <f t="shared" si="19"/>
        <v>0</v>
      </c>
      <c r="AC69" s="6">
        <f t="shared" si="20"/>
        <v>0</v>
      </c>
    </row>
    <row r="70" spans="1:29" x14ac:dyDescent="0.25">
      <c r="A70" t="s">
        <v>61</v>
      </c>
      <c r="B70" t="s">
        <v>83</v>
      </c>
      <c r="C70" s="1" t="s">
        <v>3</v>
      </c>
      <c r="D70">
        <v>0</v>
      </c>
      <c r="E70">
        <v>0</v>
      </c>
      <c r="F70">
        <v>0</v>
      </c>
      <c r="G70">
        <v>0</v>
      </c>
      <c r="H70">
        <v>0</v>
      </c>
      <c r="I70" s="1">
        <v>45427</v>
      </c>
      <c r="J70" s="1">
        <v>45427</v>
      </c>
      <c r="K70" s="1">
        <v>45427</v>
      </c>
      <c r="L70" s="1">
        <v>45427</v>
      </c>
      <c r="M70" s="1">
        <v>45427</v>
      </c>
      <c r="N70" s="5"/>
      <c r="S70" s="6"/>
      <c r="T70" s="5">
        <f t="shared" si="11"/>
        <v>0</v>
      </c>
      <c r="U70" s="10">
        <f t="shared" si="12"/>
        <v>0</v>
      </c>
      <c r="V70" s="10">
        <f t="shared" si="13"/>
        <v>0</v>
      </c>
      <c r="W70" s="10">
        <f t="shared" si="14"/>
        <v>0</v>
      </c>
      <c r="X70" s="6">
        <f t="shared" si="15"/>
        <v>0</v>
      </c>
      <c r="Y70" s="5">
        <f t="shared" si="16"/>
        <v>0</v>
      </c>
      <c r="Z70" s="10">
        <f t="shared" si="17"/>
        <v>0</v>
      </c>
      <c r="AA70" s="10">
        <f t="shared" si="18"/>
        <v>0</v>
      </c>
      <c r="AB70" s="10">
        <f t="shared" si="19"/>
        <v>0</v>
      </c>
      <c r="AC70" s="6">
        <f t="shared" si="20"/>
        <v>0</v>
      </c>
    </row>
    <row r="71" spans="1:29" x14ac:dyDescent="0.25">
      <c r="A71" t="s">
        <v>61</v>
      </c>
      <c r="B71" t="s">
        <v>84</v>
      </c>
      <c r="C71" s="1" t="s">
        <v>3</v>
      </c>
      <c r="D71">
        <v>0</v>
      </c>
      <c r="E71">
        <v>0</v>
      </c>
      <c r="F71">
        <v>0</v>
      </c>
      <c r="G71">
        <v>0</v>
      </c>
      <c r="H71">
        <v>0</v>
      </c>
      <c r="I71" s="1">
        <v>45427</v>
      </c>
      <c r="J71" s="1">
        <v>45427</v>
      </c>
      <c r="K71" s="1">
        <v>45427</v>
      </c>
      <c r="L71" s="1">
        <v>45427</v>
      </c>
      <c r="M71" s="1">
        <v>45427</v>
      </c>
      <c r="N71" s="5"/>
      <c r="S71" s="6"/>
      <c r="T71" s="5">
        <f t="shared" si="11"/>
        <v>0</v>
      </c>
      <c r="U71" s="10">
        <f t="shared" si="12"/>
        <v>0</v>
      </c>
      <c r="V71" s="10">
        <f t="shared" si="13"/>
        <v>0</v>
      </c>
      <c r="W71" s="10">
        <f t="shared" si="14"/>
        <v>0</v>
      </c>
      <c r="X71" s="6">
        <f t="shared" si="15"/>
        <v>0</v>
      </c>
      <c r="Y71" s="5">
        <f t="shared" si="16"/>
        <v>0</v>
      </c>
      <c r="Z71" s="10">
        <f t="shared" si="17"/>
        <v>0</v>
      </c>
      <c r="AA71" s="10">
        <f t="shared" si="18"/>
        <v>0</v>
      </c>
      <c r="AB71" s="10">
        <f t="shared" si="19"/>
        <v>0</v>
      </c>
      <c r="AC71" s="6">
        <f t="shared" si="20"/>
        <v>0</v>
      </c>
    </row>
    <row r="72" spans="1:29" x14ac:dyDescent="0.25">
      <c r="A72" t="s">
        <v>61</v>
      </c>
      <c r="B72" t="s">
        <v>85</v>
      </c>
      <c r="C72" s="1" t="s">
        <v>3</v>
      </c>
      <c r="D72">
        <v>0</v>
      </c>
      <c r="E72">
        <v>37</v>
      </c>
      <c r="F72">
        <v>0</v>
      </c>
      <c r="G72">
        <v>0</v>
      </c>
      <c r="H72">
        <v>0</v>
      </c>
      <c r="I72" s="1">
        <v>45427</v>
      </c>
      <c r="J72" s="1">
        <v>45464</v>
      </c>
      <c r="K72" s="1">
        <v>45427</v>
      </c>
      <c r="L72" s="1">
        <v>45427</v>
      </c>
      <c r="M72" s="1">
        <v>45427</v>
      </c>
      <c r="N72" s="5">
        <v>174.8267745856196</v>
      </c>
      <c r="P72">
        <v>140.23422371758639</v>
      </c>
      <c r="S72" s="6"/>
      <c r="T72" s="5">
        <f t="shared" si="11"/>
        <v>0</v>
      </c>
      <c r="U72" s="10">
        <f t="shared" si="12"/>
        <v>-19.786758035218377</v>
      </c>
      <c r="V72" s="10">
        <f t="shared" si="13"/>
        <v>0</v>
      </c>
      <c r="W72" s="10">
        <f t="shared" si="14"/>
        <v>0</v>
      </c>
      <c r="X72" s="6">
        <f t="shared" si="15"/>
        <v>0</v>
      </c>
      <c r="Y72" s="5">
        <f t="shared" si="16"/>
        <v>0</v>
      </c>
      <c r="Z72" s="10">
        <f t="shared" si="17"/>
        <v>-197.86758035218375</v>
      </c>
      <c r="AA72" s="10">
        <f t="shared" si="18"/>
        <v>0</v>
      </c>
      <c r="AB72" s="10">
        <f t="shared" si="19"/>
        <v>0</v>
      </c>
      <c r="AC72" s="6">
        <f t="shared" si="20"/>
        <v>0</v>
      </c>
    </row>
    <row r="73" spans="1:29" x14ac:dyDescent="0.25">
      <c r="A73" t="s">
        <v>61</v>
      </c>
      <c r="B73" t="s">
        <v>86</v>
      </c>
      <c r="C73" s="1" t="s">
        <v>3</v>
      </c>
      <c r="D73">
        <v>0</v>
      </c>
      <c r="E73">
        <v>0</v>
      </c>
      <c r="F73">
        <v>0</v>
      </c>
      <c r="G73">
        <v>0</v>
      </c>
      <c r="H73">
        <v>0</v>
      </c>
      <c r="I73" s="1">
        <v>45427</v>
      </c>
      <c r="J73" s="1">
        <v>45427</v>
      </c>
      <c r="K73" s="1">
        <v>45427</v>
      </c>
      <c r="L73" s="1">
        <v>45427</v>
      </c>
      <c r="M73" s="1">
        <v>45427</v>
      </c>
      <c r="N73" s="5"/>
      <c r="S73" s="6"/>
      <c r="T73" s="5">
        <f t="shared" si="11"/>
        <v>0</v>
      </c>
      <c r="U73" s="10">
        <f t="shared" si="12"/>
        <v>0</v>
      </c>
      <c r="V73" s="10">
        <f t="shared" si="13"/>
        <v>0</v>
      </c>
      <c r="W73" s="10">
        <f t="shared" si="14"/>
        <v>0</v>
      </c>
      <c r="X73" s="6">
        <f t="shared" si="15"/>
        <v>0</v>
      </c>
      <c r="Y73" s="5">
        <f t="shared" si="16"/>
        <v>0</v>
      </c>
      <c r="Z73" s="10">
        <f t="shared" si="17"/>
        <v>0</v>
      </c>
      <c r="AA73" s="10">
        <f t="shared" si="18"/>
        <v>0</v>
      </c>
      <c r="AB73" s="10">
        <f t="shared" si="19"/>
        <v>0</v>
      </c>
      <c r="AC73" s="6">
        <f t="shared" si="20"/>
        <v>0</v>
      </c>
    </row>
    <row r="74" spans="1:29" x14ac:dyDescent="0.25">
      <c r="A74" t="s">
        <v>61</v>
      </c>
      <c r="B74" t="s">
        <v>73</v>
      </c>
      <c r="C74" s="1" t="s">
        <v>3</v>
      </c>
      <c r="D74">
        <v>0</v>
      </c>
      <c r="E74">
        <v>0</v>
      </c>
      <c r="F74">
        <v>0</v>
      </c>
      <c r="G74">
        <v>0</v>
      </c>
      <c r="H74">
        <v>0</v>
      </c>
      <c r="I74" s="1">
        <v>45427</v>
      </c>
      <c r="J74" s="1">
        <v>45427</v>
      </c>
      <c r="K74" s="1">
        <v>45427</v>
      </c>
      <c r="L74" s="1">
        <v>45427</v>
      </c>
      <c r="M74" s="1">
        <v>45427</v>
      </c>
      <c r="N74" s="5"/>
      <c r="S74" s="6"/>
      <c r="T74" s="5">
        <f t="shared" si="11"/>
        <v>0</v>
      </c>
      <c r="U74" s="10">
        <f t="shared" si="12"/>
        <v>0</v>
      </c>
      <c r="V74" s="10">
        <f t="shared" si="13"/>
        <v>0</v>
      </c>
      <c r="W74" s="10">
        <f t="shared" si="14"/>
        <v>0</v>
      </c>
      <c r="X74" s="6">
        <f t="shared" si="15"/>
        <v>0</v>
      </c>
      <c r="Y74" s="5">
        <f t="shared" si="16"/>
        <v>0</v>
      </c>
      <c r="Z74" s="10">
        <f t="shared" si="17"/>
        <v>0</v>
      </c>
      <c r="AA74" s="10">
        <f t="shared" si="18"/>
        <v>0</v>
      </c>
      <c r="AB74" s="10">
        <f t="shared" si="19"/>
        <v>0</v>
      </c>
      <c r="AC74" s="6">
        <f t="shared" si="20"/>
        <v>0</v>
      </c>
    </row>
    <row r="75" spans="1:29" x14ac:dyDescent="0.25">
      <c r="A75" t="s">
        <v>61</v>
      </c>
      <c r="B75" t="s">
        <v>87</v>
      </c>
      <c r="C75" s="1" t="s">
        <v>3</v>
      </c>
      <c r="D75">
        <v>0</v>
      </c>
      <c r="E75">
        <v>0</v>
      </c>
      <c r="F75">
        <v>0</v>
      </c>
      <c r="G75">
        <v>0</v>
      </c>
      <c r="H75">
        <v>0</v>
      </c>
      <c r="I75" s="1">
        <v>45427</v>
      </c>
      <c r="J75" s="1">
        <v>45427</v>
      </c>
      <c r="K75" s="1">
        <v>45427</v>
      </c>
      <c r="L75" s="1">
        <v>45427</v>
      </c>
      <c r="M75" s="1">
        <v>45427</v>
      </c>
      <c r="N75" s="5"/>
      <c r="S75" s="6"/>
      <c r="T75" s="5">
        <f t="shared" si="11"/>
        <v>0</v>
      </c>
      <c r="U75" s="10">
        <f t="shared" si="12"/>
        <v>0</v>
      </c>
      <c r="V75" s="10">
        <f t="shared" si="13"/>
        <v>0</v>
      </c>
      <c r="W75" s="10">
        <f t="shared" si="14"/>
        <v>0</v>
      </c>
      <c r="X75" s="6">
        <f t="shared" si="15"/>
        <v>0</v>
      </c>
      <c r="Y75" s="5">
        <f t="shared" si="16"/>
        <v>0</v>
      </c>
      <c r="Z75" s="10">
        <f t="shared" si="17"/>
        <v>0</v>
      </c>
      <c r="AA75" s="10">
        <f t="shared" si="18"/>
        <v>0</v>
      </c>
      <c r="AB75" s="10">
        <f t="shared" si="19"/>
        <v>0</v>
      </c>
      <c r="AC75" s="6">
        <f t="shared" si="20"/>
        <v>0</v>
      </c>
    </row>
    <row r="76" spans="1:29" x14ac:dyDescent="0.25">
      <c r="A76" t="s">
        <v>61</v>
      </c>
      <c r="B76" t="s">
        <v>88</v>
      </c>
      <c r="C76" s="1" t="s">
        <v>3</v>
      </c>
      <c r="D76">
        <v>0</v>
      </c>
      <c r="E76">
        <v>0</v>
      </c>
      <c r="F76">
        <v>0</v>
      </c>
      <c r="G76">
        <v>0</v>
      </c>
      <c r="H76">
        <v>0</v>
      </c>
      <c r="I76" s="1">
        <v>45427</v>
      </c>
      <c r="J76" s="1">
        <v>45427</v>
      </c>
      <c r="K76" s="1">
        <v>45427</v>
      </c>
      <c r="L76" s="1">
        <v>45427</v>
      </c>
      <c r="M76" s="1">
        <v>45427</v>
      </c>
      <c r="N76" s="5"/>
      <c r="S76" s="6"/>
      <c r="T76" s="5">
        <f t="shared" si="11"/>
        <v>0</v>
      </c>
      <c r="U76" s="10">
        <f t="shared" si="12"/>
        <v>0</v>
      </c>
      <c r="V76" s="10">
        <f t="shared" si="13"/>
        <v>0</v>
      </c>
      <c r="W76" s="10">
        <f t="shared" si="14"/>
        <v>0</v>
      </c>
      <c r="X76" s="6">
        <f t="shared" si="15"/>
        <v>0</v>
      </c>
      <c r="Y76" s="5">
        <f t="shared" si="16"/>
        <v>0</v>
      </c>
      <c r="Z76" s="10">
        <f t="shared" si="17"/>
        <v>0</v>
      </c>
      <c r="AA76" s="10">
        <f t="shared" si="18"/>
        <v>0</v>
      </c>
      <c r="AB76" s="10">
        <f t="shared" si="19"/>
        <v>0</v>
      </c>
      <c r="AC76" s="6">
        <f t="shared" si="20"/>
        <v>0</v>
      </c>
    </row>
    <row r="77" spans="1:29" x14ac:dyDescent="0.25">
      <c r="A77" t="s">
        <v>61</v>
      </c>
      <c r="B77" t="s">
        <v>89</v>
      </c>
      <c r="C77" s="1" t="s">
        <v>3</v>
      </c>
      <c r="D77">
        <v>0</v>
      </c>
      <c r="E77">
        <v>0</v>
      </c>
      <c r="F77">
        <v>0</v>
      </c>
      <c r="G77">
        <v>0</v>
      </c>
      <c r="H77">
        <v>34</v>
      </c>
      <c r="I77" s="1">
        <v>45427</v>
      </c>
      <c r="J77" s="1">
        <v>45427</v>
      </c>
      <c r="K77" s="1">
        <v>45427</v>
      </c>
      <c r="L77" s="1">
        <v>45427</v>
      </c>
      <c r="M77" s="1">
        <v>45461</v>
      </c>
      <c r="N77" s="5">
        <v>42.891840272500403</v>
      </c>
      <c r="S77" s="6">
        <v>39.145950031466278</v>
      </c>
      <c r="T77" s="5">
        <f t="shared" si="11"/>
        <v>0</v>
      </c>
      <c r="U77" s="10">
        <f t="shared" si="12"/>
        <v>0</v>
      </c>
      <c r="V77" s="10">
        <f t="shared" si="13"/>
        <v>0</v>
      </c>
      <c r="W77" s="10">
        <f t="shared" si="14"/>
        <v>0</v>
      </c>
      <c r="X77" s="6">
        <f t="shared" si="15"/>
        <v>-8.7333399948235861</v>
      </c>
      <c r="Y77" s="5">
        <f t="shared" si="16"/>
        <v>0</v>
      </c>
      <c r="Z77" s="10">
        <f t="shared" si="17"/>
        <v>0</v>
      </c>
      <c r="AA77" s="10">
        <f t="shared" si="18"/>
        <v>0</v>
      </c>
      <c r="AB77" s="10">
        <f t="shared" si="19"/>
        <v>0</v>
      </c>
      <c r="AC77" s="6">
        <f t="shared" si="20"/>
        <v>-87.333399948235851</v>
      </c>
    </row>
    <row r="78" spans="1:29" x14ac:dyDescent="0.25">
      <c r="A78" t="s">
        <v>61</v>
      </c>
      <c r="B78" t="s">
        <v>90</v>
      </c>
      <c r="C78" s="1" t="s">
        <v>3</v>
      </c>
      <c r="D78">
        <v>0</v>
      </c>
      <c r="E78">
        <v>0</v>
      </c>
      <c r="F78">
        <v>0</v>
      </c>
      <c r="G78">
        <v>37</v>
      </c>
      <c r="H78">
        <v>0</v>
      </c>
      <c r="I78" s="1">
        <v>45427</v>
      </c>
      <c r="J78" s="1">
        <v>45427</v>
      </c>
      <c r="K78" s="1">
        <v>45427</v>
      </c>
      <c r="L78" s="1">
        <v>45464</v>
      </c>
      <c r="M78" s="1">
        <v>45427</v>
      </c>
      <c r="N78" s="5">
        <v>136.3332968554042</v>
      </c>
      <c r="R78">
        <v>178.16786960879261</v>
      </c>
      <c r="S78" s="6"/>
      <c r="T78" s="5">
        <f t="shared" si="11"/>
        <v>0</v>
      </c>
      <c r="U78" s="10">
        <f t="shared" si="12"/>
        <v>0</v>
      </c>
      <c r="V78" s="10">
        <f t="shared" si="13"/>
        <v>0</v>
      </c>
      <c r="W78" s="10">
        <f t="shared" si="14"/>
        <v>30.685513897429175</v>
      </c>
      <c r="X78" s="6">
        <f t="shared" si="15"/>
        <v>0</v>
      </c>
      <c r="Y78" s="5">
        <f t="shared" si="16"/>
        <v>0</v>
      </c>
      <c r="Z78" s="10">
        <f t="shared" si="17"/>
        <v>0</v>
      </c>
      <c r="AA78" s="10">
        <f t="shared" si="18"/>
        <v>0</v>
      </c>
      <c r="AB78" s="10">
        <f t="shared" si="19"/>
        <v>306.85513897429172</v>
      </c>
      <c r="AC78" s="6">
        <f t="shared" si="20"/>
        <v>0</v>
      </c>
    </row>
    <row r="79" spans="1:29" x14ac:dyDescent="0.25">
      <c r="A79" t="s">
        <v>91</v>
      </c>
      <c r="B79" t="s">
        <v>92</v>
      </c>
      <c r="C79" s="1" t="s">
        <v>3</v>
      </c>
      <c r="D79">
        <v>0</v>
      </c>
      <c r="E79">
        <v>0</v>
      </c>
      <c r="F79">
        <v>0</v>
      </c>
      <c r="G79">
        <v>0</v>
      </c>
      <c r="H79">
        <v>0</v>
      </c>
      <c r="I79" s="1">
        <v>45427</v>
      </c>
      <c r="J79" s="1">
        <v>45427</v>
      </c>
      <c r="K79" s="1">
        <v>45427</v>
      </c>
      <c r="L79" s="1">
        <v>45427</v>
      </c>
      <c r="M79" s="1">
        <v>45427</v>
      </c>
      <c r="N79" s="5"/>
      <c r="S79" s="6"/>
      <c r="T79" s="5">
        <f t="shared" si="11"/>
        <v>0</v>
      </c>
      <c r="U79" s="10">
        <f t="shared" si="12"/>
        <v>0</v>
      </c>
      <c r="V79" s="10">
        <f t="shared" si="13"/>
        <v>0</v>
      </c>
      <c r="W79" s="10">
        <f t="shared" si="14"/>
        <v>0</v>
      </c>
      <c r="X79" s="6">
        <f t="shared" si="15"/>
        <v>0</v>
      </c>
      <c r="Y79" s="5">
        <f t="shared" si="16"/>
        <v>0</v>
      </c>
      <c r="Z79" s="10">
        <f t="shared" si="17"/>
        <v>0</v>
      </c>
      <c r="AA79" s="10">
        <f t="shared" si="18"/>
        <v>0</v>
      </c>
      <c r="AB79" s="10">
        <f t="shared" si="19"/>
        <v>0</v>
      </c>
      <c r="AC79" s="6">
        <f t="shared" si="20"/>
        <v>0</v>
      </c>
    </row>
    <row r="80" spans="1:29" x14ac:dyDescent="0.25">
      <c r="A80" t="s">
        <v>91</v>
      </c>
      <c r="B80" t="s">
        <v>92</v>
      </c>
      <c r="C80" s="1" t="s">
        <v>3</v>
      </c>
      <c r="D80">
        <v>0</v>
      </c>
      <c r="E80">
        <v>0</v>
      </c>
      <c r="F80">
        <v>0</v>
      </c>
      <c r="G80">
        <v>0</v>
      </c>
      <c r="H80">
        <v>0</v>
      </c>
      <c r="I80" s="1">
        <v>45427</v>
      </c>
      <c r="J80" s="1">
        <v>45427</v>
      </c>
      <c r="K80" s="1">
        <v>45427</v>
      </c>
      <c r="L80" s="1">
        <v>45427</v>
      </c>
      <c r="M80" s="1">
        <v>45427</v>
      </c>
      <c r="N80" s="5"/>
      <c r="S80" s="6"/>
      <c r="T80" s="5">
        <f t="shared" si="11"/>
        <v>0</v>
      </c>
      <c r="U80" s="10">
        <f t="shared" si="12"/>
        <v>0</v>
      </c>
      <c r="V80" s="10">
        <f t="shared" si="13"/>
        <v>0</v>
      </c>
      <c r="W80" s="10">
        <f t="shared" si="14"/>
        <v>0</v>
      </c>
      <c r="X80" s="6">
        <f t="shared" si="15"/>
        <v>0</v>
      </c>
      <c r="Y80" s="5">
        <f t="shared" si="16"/>
        <v>0</v>
      </c>
      <c r="Z80" s="10">
        <f t="shared" si="17"/>
        <v>0</v>
      </c>
      <c r="AA80" s="10">
        <f t="shared" si="18"/>
        <v>0</v>
      </c>
      <c r="AB80" s="10">
        <f t="shared" si="19"/>
        <v>0</v>
      </c>
      <c r="AC80" s="6">
        <f t="shared" si="20"/>
        <v>0</v>
      </c>
    </row>
    <row r="81" spans="1:29" x14ac:dyDescent="0.25">
      <c r="A81" t="s">
        <v>93</v>
      </c>
      <c r="B81" t="s">
        <v>94</v>
      </c>
      <c r="C81" s="1" t="s">
        <v>3</v>
      </c>
      <c r="D81">
        <v>0</v>
      </c>
      <c r="E81">
        <v>0</v>
      </c>
      <c r="F81">
        <v>0</v>
      </c>
      <c r="G81">
        <v>0</v>
      </c>
      <c r="H81">
        <v>0</v>
      </c>
      <c r="I81" s="1">
        <v>45427</v>
      </c>
      <c r="J81" s="1">
        <v>45427</v>
      </c>
      <c r="K81" s="1">
        <v>45427</v>
      </c>
      <c r="L81" s="1">
        <v>45427</v>
      </c>
      <c r="M81" s="1">
        <v>45427</v>
      </c>
      <c r="N81" s="5"/>
      <c r="S81" s="6"/>
      <c r="T81" s="5">
        <f t="shared" si="11"/>
        <v>0</v>
      </c>
      <c r="U81" s="10">
        <f t="shared" si="12"/>
        <v>0</v>
      </c>
      <c r="V81" s="10">
        <f t="shared" si="13"/>
        <v>0</v>
      </c>
      <c r="W81" s="10">
        <f t="shared" si="14"/>
        <v>0</v>
      </c>
      <c r="X81" s="6">
        <f t="shared" si="15"/>
        <v>0</v>
      </c>
      <c r="Y81" s="5">
        <f t="shared" si="16"/>
        <v>0</v>
      </c>
      <c r="Z81" s="10">
        <f t="shared" si="17"/>
        <v>0</v>
      </c>
      <c r="AA81" s="10">
        <f t="shared" si="18"/>
        <v>0</v>
      </c>
      <c r="AB81" s="10">
        <f t="shared" si="19"/>
        <v>0</v>
      </c>
      <c r="AC81" s="6">
        <f t="shared" si="20"/>
        <v>0</v>
      </c>
    </row>
    <row r="82" spans="1:29" x14ac:dyDescent="0.25">
      <c r="A82" t="s">
        <v>95</v>
      </c>
      <c r="B82" t="s">
        <v>96</v>
      </c>
      <c r="C82" s="1" t="s">
        <v>4</v>
      </c>
      <c r="D82">
        <v>0</v>
      </c>
      <c r="E82">
        <v>36</v>
      </c>
      <c r="F82">
        <v>0</v>
      </c>
      <c r="G82">
        <v>0</v>
      </c>
      <c r="H82">
        <v>0</v>
      </c>
      <c r="I82" s="1">
        <v>45425</v>
      </c>
      <c r="J82" s="1">
        <v>45461</v>
      </c>
      <c r="K82" s="1">
        <v>45425</v>
      </c>
      <c r="L82" s="1">
        <v>45425</v>
      </c>
      <c r="M82" s="1">
        <v>45425</v>
      </c>
      <c r="N82" s="5">
        <v>194.29394542056301</v>
      </c>
      <c r="P82">
        <v>189.09453098184969</v>
      </c>
      <c r="S82" s="6"/>
      <c r="T82" s="5">
        <f t="shared" si="11"/>
        <v>0</v>
      </c>
      <c r="U82" s="10">
        <f t="shared" si="12"/>
        <v>-2.6760558222536535</v>
      </c>
      <c r="V82" s="10">
        <f t="shared" si="13"/>
        <v>0</v>
      </c>
      <c r="W82" s="10">
        <f t="shared" si="14"/>
        <v>0</v>
      </c>
      <c r="X82" s="6">
        <f t="shared" si="15"/>
        <v>0</v>
      </c>
      <c r="Y82" s="5">
        <f t="shared" si="16"/>
        <v>0</v>
      </c>
      <c r="Z82" s="10">
        <f t="shared" si="17"/>
        <v>-26.760558222536535</v>
      </c>
      <c r="AA82" s="10">
        <f t="shared" si="18"/>
        <v>0</v>
      </c>
      <c r="AB82" s="10">
        <f t="shared" si="19"/>
        <v>0</v>
      </c>
      <c r="AC82" s="6">
        <f t="shared" si="20"/>
        <v>0</v>
      </c>
    </row>
    <row r="83" spans="1:29" x14ac:dyDescent="0.25">
      <c r="A83" t="s">
        <v>95</v>
      </c>
      <c r="B83" t="s">
        <v>43</v>
      </c>
      <c r="C83" s="1" t="s">
        <v>4</v>
      </c>
      <c r="D83">
        <v>0</v>
      </c>
      <c r="E83">
        <v>0</v>
      </c>
      <c r="F83">
        <v>0</v>
      </c>
      <c r="G83">
        <v>0</v>
      </c>
      <c r="H83">
        <v>0</v>
      </c>
      <c r="I83" s="1">
        <v>45425</v>
      </c>
      <c r="J83" s="1">
        <v>45425</v>
      </c>
      <c r="K83" s="1">
        <v>45425</v>
      </c>
      <c r="L83" s="1">
        <v>45425</v>
      </c>
      <c r="M83" s="1">
        <v>45425</v>
      </c>
      <c r="N83" s="5"/>
      <c r="S83" s="6"/>
      <c r="T83" s="5">
        <f t="shared" si="11"/>
        <v>0</v>
      </c>
      <c r="U83" s="10">
        <f t="shared" si="12"/>
        <v>0</v>
      </c>
      <c r="V83" s="10">
        <f t="shared" si="13"/>
        <v>0</v>
      </c>
      <c r="W83" s="10">
        <f t="shared" si="14"/>
        <v>0</v>
      </c>
      <c r="X83" s="6">
        <f t="shared" si="15"/>
        <v>0</v>
      </c>
      <c r="Y83" s="5">
        <f t="shared" si="16"/>
        <v>0</v>
      </c>
      <c r="Z83" s="10">
        <f t="shared" si="17"/>
        <v>0</v>
      </c>
      <c r="AA83" s="10">
        <f t="shared" si="18"/>
        <v>0</v>
      </c>
      <c r="AB83" s="10">
        <f t="shared" si="19"/>
        <v>0</v>
      </c>
      <c r="AC83" s="6">
        <f t="shared" si="20"/>
        <v>0</v>
      </c>
    </row>
    <row r="84" spans="1:29" x14ac:dyDescent="0.25">
      <c r="A84" t="s">
        <v>95</v>
      </c>
      <c r="B84" t="s">
        <v>42</v>
      </c>
      <c r="C84" s="1" t="s">
        <v>4</v>
      </c>
      <c r="D84">
        <v>0</v>
      </c>
      <c r="E84">
        <v>0</v>
      </c>
      <c r="F84">
        <v>0</v>
      </c>
      <c r="G84">
        <v>0</v>
      </c>
      <c r="H84">
        <v>0</v>
      </c>
      <c r="I84" s="1">
        <v>45425</v>
      </c>
      <c r="J84" s="1">
        <v>45425</v>
      </c>
      <c r="K84" s="1">
        <v>45425</v>
      </c>
      <c r="L84" s="1">
        <v>45425</v>
      </c>
      <c r="M84" s="1">
        <v>45425</v>
      </c>
      <c r="N84" s="5"/>
      <c r="S84" s="6"/>
      <c r="T84" s="5">
        <f t="shared" si="11"/>
        <v>0</v>
      </c>
      <c r="U84" s="10">
        <f t="shared" si="12"/>
        <v>0</v>
      </c>
      <c r="V84" s="10">
        <f t="shared" si="13"/>
        <v>0</v>
      </c>
      <c r="W84" s="10">
        <f t="shared" si="14"/>
        <v>0</v>
      </c>
      <c r="X84" s="6">
        <f t="shared" si="15"/>
        <v>0</v>
      </c>
      <c r="Y84" s="5">
        <f t="shared" si="16"/>
        <v>0</v>
      </c>
      <c r="Z84" s="10">
        <f t="shared" si="17"/>
        <v>0</v>
      </c>
      <c r="AA84" s="10">
        <f t="shared" si="18"/>
        <v>0</v>
      </c>
      <c r="AB84" s="10">
        <f t="shared" si="19"/>
        <v>0</v>
      </c>
      <c r="AC84" s="6">
        <f t="shared" si="20"/>
        <v>0</v>
      </c>
    </row>
    <row r="85" spans="1:29" x14ac:dyDescent="0.25">
      <c r="A85" t="s">
        <v>95</v>
      </c>
      <c r="B85" t="s">
        <v>97</v>
      </c>
      <c r="C85" s="1" t="s">
        <v>4</v>
      </c>
      <c r="D85">
        <v>0</v>
      </c>
      <c r="E85">
        <v>0</v>
      </c>
      <c r="F85">
        <v>0</v>
      </c>
      <c r="G85">
        <v>0</v>
      </c>
      <c r="H85">
        <v>0</v>
      </c>
      <c r="I85" s="1">
        <v>45425</v>
      </c>
      <c r="J85" s="1">
        <v>45425</v>
      </c>
      <c r="K85" s="1">
        <v>45425</v>
      </c>
      <c r="L85" s="1">
        <v>45425</v>
      </c>
      <c r="M85" s="1">
        <v>45425</v>
      </c>
      <c r="N85" s="5"/>
      <c r="S85" s="6"/>
      <c r="T85" s="5">
        <f t="shared" si="11"/>
        <v>0</v>
      </c>
      <c r="U85" s="10">
        <f t="shared" si="12"/>
        <v>0</v>
      </c>
      <c r="V85" s="10">
        <f t="shared" si="13"/>
        <v>0</v>
      </c>
      <c r="W85" s="10">
        <f t="shared" si="14"/>
        <v>0</v>
      </c>
      <c r="X85" s="6">
        <f t="shared" si="15"/>
        <v>0</v>
      </c>
      <c r="Y85" s="5">
        <f t="shared" si="16"/>
        <v>0</v>
      </c>
      <c r="Z85" s="10">
        <f t="shared" si="17"/>
        <v>0</v>
      </c>
      <c r="AA85" s="10">
        <f t="shared" si="18"/>
        <v>0</v>
      </c>
      <c r="AB85" s="10">
        <f t="shared" si="19"/>
        <v>0</v>
      </c>
      <c r="AC85" s="6">
        <f t="shared" si="20"/>
        <v>0</v>
      </c>
    </row>
    <row r="86" spans="1:29" x14ac:dyDescent="0.25">
      <c r="A86" t="s">
        <v>98</v>
      </c>
      <c r="B86" t="s">
        <v>99</v>
      </c>
      <c r="C86" s="1" t="s">
        <v>4</v>
      </c>
      <c r="D86">
        <v>0</v>
      </c>
      <c r="E86">
        <v>0</v>
      </c>
      <c r="F86">
        <v>0</v>
      </c>
      <c r="G86">
        <v>0</v>
      </c>
      <c r="H86">
        <v>0</v>
      </c>
      <c r="I86" s="1">
        <v>45425</v>
      </c>
      <c r="J86" s="1">
        <v>45425</v>
      </c>
      <c r="K86" s="1">
        <v>45425</v>
      </c>
      <c r="L86" s="1">
        <v>45425</v>
      </c>
      <c r="M86" s="1">
        <v>45425</v>
      </c>
      <c r="N86" s="5"/>
      <c r="S86" s="6"/>
      <c r="T86" s="5">
        <f t="shared" si="11"/>
        <v>0</v>
      </c>
      <c r="U86" s="10">
        <f t="shared" si="12"/>
        <v>0</v>
      </c>
      <c r="V86" s="10">
        <f t="shared" si="13"/>
        <v>0</v>
      </c>
      <c r="W86" s="10">
        <f t="shared" si="14"/>
        <v>0</v>
      </c>
      <c r="X86" s="6">
        <f t="shared" si="15"/>
        <v>0</v>
      </c>
      <c r="Y86" s="5">
        <f t="shared" si="16"/>
        <v>0</v>
      </c>
      <c r="Z86" s="10">
        <f t="shared" si="17"/>
        <v>0</v>
      </c>
      <c r="AA86" s="10">
        <f t="shared" si="18"/>
        <v>0</v>
      </c>
      <c r="AB86" s="10">
        <f t="shared" si="19"/>
        <v>0</v>
      </c>
      <c r="AC86" s="6">
        <f t="shared" si="20"/>
        <v>0</v>
      </c>
    </row>
    <row r="87" spans="1:29" x14ac:dyDescent="0.25">
      <c r="A87" t="s">
        <v>98</v>
      </c>
      <c r="B87" t="s">
        <v>100</v>
      </c>
      <c r="C87" s="1" t="s">
        <v>4</v>
      </c>
      <c r="D87">
        <v>0</v>
      </c>
      <c r="E87">
        <v>0</v>
      </c>
      <c r="F87">
        <v>0</v>
      </c>
      <c r="G87">
        <v>0</v>
      </c>
      <c r="H87">
        <v>0</v>
      </c>
      <c r="I87" s="1">
        <v>45425</v>
      </c>
      <c r="J87" s="1">
        <v>45425</v>
      </c>
      <c r="K87" s="1">
        <v>45425</v>
      </c>
      <c r="L87" s="1">
        <v>45425</v>
      </c>
      <c r="M87" s="1">
        <v>45425</v>
      </c>
      <c r="N87" s="5"/>
      <c r="S87" s="6"/>
      <c r="T87" s="5">
        <f t="shared" si="11"/>
        <v>0</v>
      </c>
      <c r="U87" s="10">
        <f t="shared" si="12"/>
        <v>0</v>
      </c>
      <c r="V87" s="10">
        <f t="shared" si="13"/>
        <v>0</v>
      </c>
      <c r="W87" s="10">
        <f t="shared" si="14"/>
        <v>0</v>
      </c>
      <c r="X87" s="6">
        <f t="shared" si="15"/>
        <v>0</v>
      </c>
      <c r="Y87" s="5">
        <f t="shared" si="16"/>
        <v>0</v>
      </c>
      <c r="Z87" s="10">
        <f t="shared" si="17"/>
        <v>0</v>
      </c>
      <c r="AA87" s="10">
        <f t="shared" si="18"/>
        <v>0</v>
      </c>
      <c r="AB87" s="10">
        <f t="shared" si="19"/>
        <v>0</v>
      </c>
      <c r="AC87" s="6">
        <f t="shared" si="20"/>
        <v>0</v>
      </c>
    </row>
    <row r="88" spans="1:29" x14ac:dyDescent="0.25">
      <c r="A88" t="s">
        <v>98</v>
      </c>
      <c r="B88" t="s">
        <v>101</v>
      </c>
      <c r="C88" s="1" t="s">
        <v>4</v>
      </c>
      <c r="D88">
        <v>0</v>
      </c>
      <c r="E88">
        <v>0</v>
      </c>
      <c r="F88">
        <v>0</v>
      </c>
      <c r="G88">
        <v>0</v>
      </c>
      <c r="H88">
        <v>0</v>
      </c>
      <c r="I88" s="1">
        <v>45425</v>
      </c>
      <c r="J88" s="1">
        <v>45425</v>
      </c>
      <c r="K88" s="1">
        <v>45425</v>
      </c>
      <c r="L88" s="1">
        <v>45425</v>
      </c>
      <c r="M88" s="1">
        <v>45425</v>
      </c>
      <c r="N88" s="5"/>
      <c r="S88" s="6"/>
      <c r="T88" s="5">
        <f t="shared" si="11"/>
        <v>0</v>
      </c>
      <c r="U88" s="10">
        <f t="shared" si="12"/>
        <v>0</v>
      </c>
      <c r="V88" s="10">
        <f t="shared" si="13"/>
        <v>0</v>
      </c>
      <c r="W88" s="10">
        <f t="shared" si="14"/>
        <v>0</v>
      </c>
      <c r="X88" s="6">
        <f t="shared" si="15"/>
        <v>0</v>
      </c>
      <c r="Y88" s="5">
        <f t="shared" si="16"/>
        <v>0</v>
      </c>
      <c r="Z88" s="10">
        <f t="shared" si="17"/>
        <v>0</v>
      </c>
      <c r="AA88" s="10">
        <f t="shared" si="18"/>
        <v>0</v>
      </c>
      <c r="AB88" s="10">
        <f t="shared" si="19"/>
        <v>0</v>
      </c>
      <c r="AC88" s="6">
        <f t="shared" si="20"/>
        <v>0</v>
      </c>
    </row>
    <row r="89" spans="1:29" x14ac:dyDescent="0.25">
      <c r="A89" t="s">
        <v>102</v>
      </c>
      <c r="B89" t="s">
        <v>103</v>
      </c>
      <c r="C89" s="1" t="s">
        <v>4</v>
      </c>
      <c r="D89">
        <v>0</v>
      </c>
      <c r="E89">
        <v>0</v>
      </c>
      <c r="F89">
        <v>0</v>
      </c>
      <c r="G89">
        <v>0</v>
      </c>
      <c r="H89">
        <v>0</v>
      </c>
      <c r="I89" s="1">
        <v>45425</v>
      </c>
      <c r="J89" s="1">
        <v>45425</v>
      </c>
      <c r="K89" s="1">
        <v>45425</v>
      </c>
      <c r="L89" s="1">
        <v>45425</v>
      </c>
      <c r="M89" s="1">
        <v>45425</v>
      </c>
      <c r="N89" s="5"/>
      <c r="S89" s="6"/>
      <c r="T89" s="5">
        <f t="shared" si="11"/>
        <v>0</v>
      </c>
      <c r="U89" s="10">
        <f t="shared" si="12"/>
        <v>0</v>
      </c>
      <c r="V89" s="10">
        <f t="shared" si="13"/>
        <v>0</v>
      </c>
      <c r="W89" s="10">
        <f t="shared" si="14"/>
        <v>0</v>
      </c>
      <c r="X89" s="6">
        <f t="shared" si="15"/>
        <v>0</v>
      </c>
      <c r="Y89" s="5">
        <f t="shared" si="16"/>
        <v>0</v>
      </c>
      <c r="Z89" s="10">
        <f t="shared" si="17"/>
        <v>0</v>
      </c>
      <c r="AA89" s="10">
        <f t="shared" si="18"/>
        <v>0</v>
      </c>
      <c r="AB89" s="10">
        <f t="shared" si="19"/>
        <v>0</v>
      </c>
      <c r="AC89" s="6">
        <f t="shared" si="20"/>
        <v>0</v>
      </c>
    </row>
    <row r="90" spans="1:29" x14ac:dyDescent="0.25">
      <c r="A90" t="s">
        <v>102</v>
      </c>
      <c r="B90" t="s">
        <v>104</v>
      </c>
      <c r="C90" s="1" t="s">
        <v>4</v>
      </c>
      <c r="D90">
        <v>0</v>
      </c>
      <c r="E90">
        <v>0</v>
      </c>
      <c r="F90">
        <v>0</v>
      </c>
      <c r="G90">
        <v>0</v>
      </c>
      <c r="H90">
        <v>0</v>
      </c>
      <c r="I90" s="1">
        <v>45425</v>
      </c>
      <c r="J90" s="1">
        <v>45425</v>
      </c>
      <c r="K90" s="1">
        <v>45425</v>
      </c>
      <c r="L90" s="1">
        <v>45425</v>
      </c>
      <c r="M90" s="1">
        <v>45425</v>
      </c>
      <c r="N90" s="5"/>
      <c r="S90" s="6"/>
      <c r="T90" s="5">
        <f t="shared" si="11"/>
        <v>0</v>
      </c>
      <c r="U90" s="10">
        <f t="shared" si="12"/>
        <v>0</v>
      </c>
      <c r="V90" s="10">
        <f t="shared" si="13"/>
        <v>0</v>
      </c>
      <c r="W90" s="10">
        <f t="shared" si="14"/>
        <v>0</v>
      </c>
      <c r="X90" s="6">
        <f t="shared" si="15"/>
        <v>0</v>
      </c>
      <c r="Y90" s="5">
        <f t="shared" si="16"/>
        <v>0</v>
      </c>
      <c r="Z90" s="10">
        <f t="shared" si="17"/>
        <v>0</v>
      </c>
      <c r="AA90" s="10">
        <f t="shared" si="18"/>
        <v>0</v>
      </c>
      <c r="AB90" s="10">
        <f t="shared" si="19"/>
        <v>0</v>
      </c>
      <c r="AC90" s="6">
        <f t="shared" si="20"/>
        <v>0</v>
      </c>
    </row>
    <row r="91" spans="1:29" x14ac:dyDescent="0.25">
      <c r="A91" t="s">
        <v>105</v>
      </c>
      <c r="B91" t="s">
        <v>106</v>
      </c>
      <c r="C91" s="1" t="s">
        <v>5</v>
      </c>
      <c r="D91">
        <v>0</v>
      </c>
      <c r="E91">
        <v>0</v>
      </c>
      <c r="F91">
        <v>0</v>
      </c>
      <c r="G91">
        <v>0</v>
      </c>
      <c r="H91">
        <v>0</v>
      </c>
      <c r="I91" s="1">
        <v>45421</v>
      </c>
      <c r="J91" s="1">
        <v>45421</v>
      </c>
      <c r="K91" s="1">
        <v>45421</v>
      </c>
      <c r="L91" s="1">
        <v>45421</v>
      </c>
      <c r="M91" s="1">
        <v>45421</v>
      </c>
      <c r="N91" s="5"/>
      <c r="S91" s="6"/>
      <c r="T91" s="5">
        <f t="shared" si="11"/>
        <v>0</v>
      </c>
      <c r="U91" s="10">
        <f t="shared" si="12"/>
        <v>0</v>
      </c>
      <c r="V91" s="10">
        <f t="shared" si="13"/>
        <v>0</v>
      </c>
      <c r="W91" s="10">
        <f t="shared" si="14"/>
        <v>0</v>
      </c>
      <c r="X91" s="6">
        <f t="shared" si="15"/>
        <v>0</v>
      </c>
      <c r="Y91" s="5">
        <f t="shared" si="16"/>
        <v>0</v>
      </c>
      <c r="Z91" s="10">
        <f t="shared" si="17"/>
        <v>0</v>
      </c>
      <c r="AA91" s="10">
        <f t="shared" si="18"/>
        <v>0</v>
      </c>
      <c r="AB91" s="10">
        <f t="shared" si="19"/>
        <v>0</v>
      </c>
      <c r="AC91" s="6">
        <f t="shared" si="20"/>
        <v>0</v>
      </c>
    </row>
    <row r="92" spans="1:29" x14ac:dyDescent="0.25">
      <c r="A92" t="s">
        <v>105</v>
      </c>
      <c r="B92" t="s">
        <v>107</v>
      </c>
      <c r="C92" s="1" t="s">
        <v>5</v>
      </c>
      <c r="D92">
        <v>0</v>
      </c>
      <c r="E92">
        <v>0</v>
      </c>
      <c r="F92">
        <v>0</v>
      </c>
      <c r="G92">
        <v>0</v>
      </c>
      <c r="H92">
        <v>0</v>
      </c>
      <c r="I92" s="1">
        <v>45421</v>
      </c>
      <c r="J92" s="1">
        <v>45421</v>
      </c>
      <c r="K92" s="1">
        <v>45421</v>
      </c>
      <c r="L92" s="1">
        <v>45421</v>
      </c>
      <c r="M92" s="1">
        <v>45421</v>
      </c>
      <c r="N92" s="5"/>
      <c r="S92" s="6"/>
      <c r="T92" s="5">
        <f t="shared" si="11"/>
        <v>0</v>
      </c>
      <c r="U92" s="10">
        <f t="shared" si="12"/>
        <v>0</v>
      </c>
      <c r="V92" s="10">
        <f t="shared" si="13"/>
        <v>0</v>
      </c>
      <c r="W92" s="10">
        <f t="shared" si="14"/>
        <v>0</v>
      </c>
      <c r="X92" s="6">
        <f t="shared" si="15"/>
        <v>0</v>
      </c>
      <c r="Y92" s="5">
        <f t="shared" si="16"/>
        <v>0</v>
      </c>
      <c r="Z92" s="10">
        <f t="shared" si="17"/>
        <v>0</v>
      </c>
      <c r="AA92" s="10">
        <f t="shared" si="18"/>
        <v>0</v>
      </c>
      <c r="AB92" s="10">
        <f t="shared" si="19"/>
        <v>0</v>
      </c>
      <c r="AC92" s="6">
        <f t="shared" si="20"/>
        <v>0</v>
      </c>
    </row>
    <row r="93" spans="1:29" x14ac:dyDescent="0.25">
      <c r="A93" t="s">
        <v>108</v>
      </c>
      <c r="B93" t="s">
        <v>109</v>
      </c>
      <c r="C93" s="1" t="s">
        <v>6</v>
      </c>
      <c r="D93">
        <v>0</v>
      </c>
      <c r="E93">
        <v>0</v>
      </c>
      <c r="F93">
        <v>0</v>
      </c>
      <c r="G93">
        <v>0</v>
      </c>
      <c r="H93">
        <v>0</v>
      </c>
      <c r="I93" s="1">
        <v>45420</v>
      </c>
      <c r="J93" s="1">
        <v>45420</v>
      </c>
      <c r="K93" s="1">
        <v>45420</v>
      </c>
      <c r="L93" s="1">
        <v>45420</v>
      </c>
      <c r="M93" s="1">
        <v>45420</v>
      </c>
      <c r="N93" s="5"/>
      <c r="S93" s="6"/>
      <c r="T93" s="5">
        <f t="shared" si="11"/>
        <v>0</v>
      </c>
      <c r="U93" s="10">
        <f t="shared" si="12"/>
        <v>0</v>
      </c>
      <c r="V93" s="10">
        <f t="shared" si="13"/>
        <v>0</v>
      </c>
      <c r="W93" s="10">
        <f t="shared" si="14"/>
        <v>0</v>
      </c>
      <c r="X93" s="6">
        <f t="shared" si="15"/>
        <v>0</v>
      </c>
      <c r="Y93" s="5">
        <f t="shared" si="16"/>
        <v>0</v>
      </c>
      <c r="Z93" s="10">
        <f t="shared" si="17"/>
        <v>0</v>
      </c>
      <c r="AA93" s="10">
        <f t="shared" si="18"/>
        <v>0</v>
      </c>
      <c r="AB93" s="10">
        <f t="shared" si="19"/>
        <v>0</v>
      </c>
      <c r="AC93" s="6">
        <f t="shared" si="20"/>
        <v>0</v>
      </c>
    </row>
    <row r="94" spans="1:29" x14ac:dyDescent="0.25">
      <c r="A94" t="s">
        <v>108</v>
      </c>
      <c r="B94" t="s">
        <v>80</v>
      </c>
      <c r="C94" s="1" t="s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1">
        <v>45420</v>
      </c>
      <c r="J94" s="1">
        <v>45420</v>
      </c>
      <c r="K94" s="1">
        <v>45420</v>
      </c>
      <c r="L94" s="1">
        <v>45420</v>
      </c>
      <c r="M94" s="1">
        <v>45420</v>
      </c>
      <c r="N94" s="5"/>
      <c r="S94" s="6"/>
      <c r="T94" s="5">
        <f t="shared" si="11"/>
        <v>0</v>
      </c>
      <c r="U94" s="10">
        <f t="shared" si="12"/>
        <v>0</v>
      </c>
      <c r="V94" s="10">
        <f t="shared" si="13"/>
        <v>0</v>
      </c>
      <c r="W94" s="10">
        <f t="shared" si="14"/>
        <v>0</v>
      </c>
      <c r="X94" s="6">
        <f t="shared" si="15"/>
        <v>0</v>
      </c>
      <c r="Y94" s="5">
        <f t="shared" si="16"/>
        <v>0</v>
      </c>
      <c r="Z94" s="10">
        <f t="shared" si="17"/>
        <v>0</v>
      </c>
      <c r="AA94" s="10">
        <f t="shared" si="18"/>
        <v>0</v>
      </c>
      <c r="AB94" s="10">
        <f t="shared" si="19"/>
        <v>0</v>
      </c>
      <c r="AC94" s="6">
        <f t="shared" si="20"/>
        <v>0</v>
      </c>
    </row>
    <row r="95" spans="1:29" x14ac:dyDescent="0.25">
      <c r="A95" t="s">
        <v>108</v>
      </c>
      <c r="B95" t="s">
        <v>110</v>
      </c>
      <c r="C95" s="1" t="s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1">
        <v>45420</v>
      </c>
      <c r="J95" s="1">
        <v>45420</v>
      </c>
      <c r="K95" s="1">
        <v>45420</v>
      </c>
      <c r="L95" s="1">
        <v>45420</v>
      </c>
      <c r="M95" s="1">
        <v>45420</v>
      </c>
      <c r="N95" s="5"/>
      <c r="S95" s="6"/>
      <c r="T95" s="5">
        <f t="shared" si="11"/>
        <v>0</v>
      </c>
      <c r="U95" s="10">
        <f t="shared" si="12"/>
        <v>0</v>
      </c>
      <c r="V95" s="10">
        <f t="shared" si="13"/>
        <v>0</v>
      </c>
      <c r="W95" s="10">
        <f t="shared" si="14"/>
        <v>0</v>
      </c>
      <c r="X95" s="6">
        <f t="shared" si="15"/>
        <v>0</v>
      </c>
      <c r="Y95" s="5">
        <f t="shared" si="16"/>
        <v>0</v>
      </c>
      <c r="Z95" s="10">
        <f t="shared" si="17"/>
        <v>0</v>
      </c>
      <c r="AA95" s="10">
        <f t="shared" si="18"/>
        <v>0</v>
      </c>
      <c r="AB95" s="10">
        <f t="shared" si="19"/>
        <v>0</v>
      </c>
      <c r="AC95" s="6">
        <f t="shared" si="20"/>
        <v>0</v>
      </c>
    </row>
    <row r="96" spans="1:29" x14ac:dyDescent="0.25">
      <c r="A96" t="s">
        <v>108</v>
      </c>
      <c r="B96" t="s">
        <v>111</v>
      </c>
      <c r="C96" s="1" t="s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1">
        <v>45420</v>
      </c>
      <c r="J96" s="1">
        <v>45420</v>
      </c>
      <c r="K96" s="1">
        <v>45420</v>
      </c>
      <c r="L96" s="1">
        <v>45420</v>
      </c>
      <c r="M96" s="1">
        <v>45420</v>
      </c>
      <c r="N96" s="5"/>
      <c r="S96" s="6"/>
      <c r="T96" s="5">
        <f t="shared" si="11"/>
        <v>0</v>
      </c>
      <c r="U96" s="10">
        <f t="shared" si="12"/>
        <v>0</v>
      </c>
      <c r="V96" s="10">
        <f t="shared" si="13"/>
        <v>0</v>
      </c>
      <c r="W96" s="10">
        <f t="shared" si="14"/>
        <v>0</v>
      </c>
      <c r="X96" s="6">
        <f t="shared" si="15"/>
        <v>0</v>
      </c>
      <c r="Y96" s="5">
        <f t="shared" si="16"/>
        <v>0</v>
      </c>
      <c r="Z96" s="10">
        <f t="shared" si="17"/>
        <v>0</v>
      </c>
      <c r="AA96" s="10">
        <f t="shared" si="18"/>
        <v>0</v>
      </c>
      <c r="AB96" s="10">
        <f t="shared" si="19"/>
        <v>0</v>
      </c>
      <c r="AC96" s="6">
        <f t="shared" si="20"/>
        <v>0</v>
      </c>
    </row>
    <row r="97" spans="1:29" x14ac:dyDescent="0.25">
      <c r="A97" t="s">
        <v>108</v>
      </c>
      <c r="B97" t="s">
        <v>112</v>
      </c>
      <c r="C97" s="1" t="s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1">
        <v>45420</v>
      </c>
      <c r="J97" s="1">
        <v>45420</v>
      </c>
      <c r="K97" s="1">
        <v>45420</v>
      </c>
      <c r="L97" s="1">
        <v>45420</v>
      </c>
      <c r="M97" s="1">
        <v>45420</v>
      </c>
      <c r="N97" s="5"/>
      <c r="S97" s="6"/>
      <c r="T97" s="5">
        <f t="shared" si="11"/>
        <v>0</v>
      </c>
      <c r="U97" s="10">
        <f t="shared" si="12"/>
        <v>0</v>
      </c>
      <c r="V97" s="10">
        <f t="shared" si="13"/>
        <v>0</v>
      </c>
      <c r="W97" s="10">
        <f t="shared" si="14"/>
        <v>0</v>
      </c>
      <c r="X97" s="6">
        <f t="shared" si="15"/>
        <v>0</v>
      </c>
      <c r="Y97" s="5">
        <f t="shared" si="16"/>
        <v>0</v>
      </c>
      <c r="Z97" s="10">
        <f t="shared" si="17"/>
        <v>0</v>
      </c>
      <c r="AA97" s="10">
        <f t="shared" si="18"/>
        <v>0</v>
      </c>
      <c r="AB97" s="10">
        <f t="shared" si="19"/>
        <v>0</v>
      </c>
      <c r="AC97" s="6">
        <f t="shared" si="20"/>
        <v>0</v>
      </c>
    </row>
    <row r="98" spans="1:29" x14ac:dyDescent="0.25">
      <c r="A98" t="s">
        <v>108</v>
      </c>
      <c r="B98" t="s">
        <v>113</v>
      </c>
      <c r="C98" s="1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 s="1">
        <v>45420</v>
      </c>
      <c r="J98" s="1">
        <v>45420</v>
      </c>
      <c r="K98" s="1">
        <v>45420</v>
      </c>
      <c r="L98" s="1">
        <v>45420</v>
      </c>
      <c r="M98" s="1">
        <v>45420</v>
      </c>
      <c r="N98" s="5"/>
      <c r="S98" s="6"/>
      <c r="T98" s="5">
        <f t="shared" si="11"/>
        <v>0</v>
      </c>
      <c r="U98" s="10">
        <f t="shared" si="12"/>
        <v>0</v>
      </c>
      <c r="V98" s="10">
        <f t="shared" si="13"/>
        <v>0</v>
      </c>
      <c r="W98" s="10">
        <f t="shared" si="14"/>
        <v>0</v>
      </c>
      <c r="X98" s="6">
        <f t="shared" si="15"/>
        <v>0</v>
      </c>
      <c r="Y98" s="5">
        <f t="shared" si="16"/>
        <v>0</v>
      </c>
      <c r="Z98" s="10">
        <f t="shared" si="17"/>
        <v>0</v>
      </c>
      <c r="AA98" s="10">
        <f t="shared" si="18"/>
        <v>0</v>
      </c>
      <c r="AB98" s="10">
        <f t="shared" si="19"/>
        <v>0</v>
      </c>
      <c r="AC98" s="6">
        <f t="shared" si="20"/>
        <v>0</v>
      </c>
    </row>
    <row r="99" spans="1:29" x14ac:dyDescent="0.25">
      <c r="A99" t="s">
        <v>114</v>
      </c>
      <c r="B99" t="s">
        <v>115</v>
      </c>
      <c r="C99" s="1" t="s">
        <v>7</v>
      </c>
      <c r="D99">
        <v>0</v>
      </c>
      <c r="E99">
        <v>0</v>
      </c>
      <c r="F99">
        <v>0</v>
      </c>
      <c r="G99">
        <v>0</v>
      </c>
      <c r="H99">
        <v>0</v>
      </c>
      <c r="I99" s="1">
        <v>45419</v>
      </c>
      <c r="J99" s="1">
        <v>45419</v>
      </c>
      <c r="K99" s="1">
        <v>45419</v>
      </c>
      <c r="L99" s="1">
        <v>45419</v>
      </c>
      <c r="M99" s="1">
        <v>45419</v>
      </c>
      <c r="N99" s="5"/>
      <c r="S99" s="6"/>
      <c r="T99" s="5">
        <f t="shared" si="11"/>
        <v>0</v>
      </c>
      <c r="U99" s="10">
        <f t="shared" si="12"/>
        <v>0</v>
      </c>
      <c r="V99" s="10">
        <f t="shared" si="13"/>
        <v>0</v>
      </c>
      <c r="W99" s="10">
        <f t="shared" si="14"/>
        <v>0</v>
      </c>
      <c r="X99" s="6">
        <f t="shared" si="15"/>
        <v>0</v>
      </c>
      <c r="Y99" s="5">
        <f t="shared" si="16"/>
        <v>0</v>
      </c>
      <c r="Z99" s="10">
        <f t="shared" si="17"/>
        <v>0</v>
      </c>
      <c r="AA99" s="10">
        <f t="shared" si="18"/>
        <v>0</v>
      </c>
      <c r="AB99" s="10">
        <f t="shared" si="19"/>
        <v>0</v>
      </c>
      <c r="AC99" s="6">
        <f t="shared" si="20"/>
        <v>0</v>
      </c>
    </row>
    <row r="100" spans="1:29" x14ac:dyDescent="0.25">
      <c r="A100" t="s">
        <v>114</v>
      </c>
      <c r="B100" t="s">
        <v>116</v>
      </c>
      <c r="C100" s="1" t="s">
        <v>7</v>
      </c>
      <c r="D100">
        <v>0</v>
      </c>
      <c r="E100">
        <v>0</v>
      </c>
      <c r="F100">
        <v>0</v>
      </c>
      <c r="G100">
        <v>0</v>
      </c>
      <c r="H100">
        <v>0</v>
      </c>
      <c r="I100" s="1">
        <v>45419</v>
      </c>
      <c r="J100" s="1">
        <v>45419</v>
      </c>
      <c r="K100" s="1">
        <v>45419</v>
      </c>
      <c r="L100" s="1">
        <v>45419</v>
      </c>
      <c r="M100" s="1">
        <v>45419</v>
      </c>
      <c r="N100" s="5"/>
      <c r="S100" s="6"/>
      <c r="T100" s="5">
        <f t="shared" si="11"/>
        <v>0</v>
      </c>
      <c r="U100" s="10">
        <f t="shared" si="12"/>
        <v>0</v>
      </c>
      <c r="V100" s="10">
        <f t="shared" si="13"/>
        <v>0</v>
      </c>
      <c r="W100" s="10">
        <f t="shared" si="14"/>
        <v>0</v>
      </c>
      <c r="X100" s="6">
        <f t="shared" si="15"/>
        <v>0</v>
      </c>
      <c r="Y100" s="5">
        <f t="shared" si="16"/>
        <v>0</v>
      </c>
      <c r="Z100" s="10">
        <f t="shared" si="17"/>
        <v>0</v>
      </c>
      <c r="AA100" s="10">
        <f t="shared" si="18"/>
        <v>0</v>
      </c>
      <c r="AB100" s="10">
        <f t="shared" si="19"/>
        <v>0</v>
      </c>
      <c r="AC100" s="6">
        <f t="shared" si="20"/>
        <v>0</v>
      </c>
    </row>
    <row r="101" spans="1:29" x14ac:dyDescent="0.25">
      <c r="A101" t="s">
        <v>114</v>
      </c>
      <c r="B101" t="s">
        <v>117</v>
      </c>
      <c r="C101" s="1" t="s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 s="1">
        <v>45419</v>
      </c>
      <c r="J101" s="1">
        <v>45419</v>
      </c>
      <c r="K101" s="1">
        <v>45419</v>
      </c>
      <c r="L101" s="1">
        <v>45419</v>
      </c>
      <c r="M101" s="1">
        <v>45419</v>
      </c>
      <c r="N101" s="5"/>
      <c r="S101" s="6"/>
      <c r="T101" s="5">
        <f t="shared" si="11"/>
        <v>0</v>
      </c>
      <c r="U101" s="10">
        <f t="shared" si="12"/>
        <v>0</v>
      </c>
      <c r="V101" s="10">
        <f t="shared" si="13"/>
        <v>0</v>
      </c>
      <c r="W101" s="10">
        <f t="shared" si="14"/>
        <v>0</v>
      </c>
      <c r="X101" s="6">
        <f t="shared" si="15"/>
        <v>0</v>
      </c>
      <c r="Y101" s="5">
        <f t="shared" si="16"/>
        <v>0</v>
      </c>
      <c r="Z101" s="10">
        <f t="shared" si="17"/>
        <v>0</v>
      </c>
      <c r="AA101" s="10">
        <f t="shared" si="18"/>
        <v>0</v>
      </c>
      <c r="AB101" s="10">
        <f t="shared" si="19"/>
        <v>0</v>
      </c>
      <c r="AC101" s="6">
        <f t="shared" si="20"/>
        <v>0</v>
      </c>
    </row>
    <row r="102" spans="1:29" x14ac:dyDescent="0.25">
      <c r="A102" t="s">
        <v>114</v>
      </c>
      <c r="B102" t="s">
        <v>117</v>
      </c>
      <c r="C102" s="1" t="s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 s="1">
        <v>45419</v>
      </c>
      <c r="J102" s="1">
        <v>45419</v>
      </c>
      <c r="K102" s="1">
        <v>45419</v>
      </c>
      <c r="L102" s="1">
        <v>45419</v>
      </c>
      <c r="M102" s="1">
        <v>45419</v>
      </c>
      <c r="N102" s="5"/>
      <c r="S102" s="6"/>
      <c r="T102" s="5">
        <f t="shared" si="11"/>
        <v>0</v>
      </c>
      <c r="U102" s="10">
        <f t="shared" si="12"/>
        <v>0</v>
      </c>
      <c r="V102" s="10">
        <f t="shared" si="13"/>
        <v>0</v>
      </c>
      <c r="W102" s="10">
        <f t="shared" si="14"/>
        <v>0</v>
      </c>
      <c r="X102" s="6">
        <f t="shared" si="15"/>
        <v>0</v>
      </c>
      <c r="Y102" s="5">
        <f t="shared" si="16"/>
        <v>0</v>
      </c>
      <c r="Z102" s="10">
        <f t="shared" si="17"/>
        <v>0</v>
      </c>
      <c r="AA102" s="10">
        <f t="shared" si="18"/>
        <v>0</v>
      </c>
      <c r="AB102" s="10">
        <f t="shared" si="19"/>
        <v>0</v>
      </c>
      <c r="AC102" s="6">
        <f t="shared" si="20"/>
        <v>0</v>
      </c>
    </row>
    <row r="103" spans="1:29" x14ac:dyDescent="0.25">
      <c r="A103" t="s">
        <v>114</v>
      </c>
      <c r="B103" t="s">
        <v>117</v>
      </c>
      <c r="C103" s="1" t="s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 s="1">
        <v>45419</v>
      </c>
      <c r="J103" s="1">
        <v>45419</v>
      </c>
      <c r="K103" s="1">
        <v>45419</v>
      </c>
      <c r="L103" s="1">
        <v>45419</v>
      </c>
      <c r="M103" s="1">
        <v>45419</v>
      </c>
      <c r="N103" s="5"/>
      <c r="S103" s="6"/>
      <c r="T103" s="5">
        <f t="shared" si="11"/>
        <v>0</v>
      </c>
      <c r="U103" s="10">
        <f t="shared" si="12"/>
        <v>0</v>
      </c>
      <c r="V103" s="10">
        <f t="shared" si="13"/>
        <v>0</v>
      </c>
      <c r="W103" s="10">
        <f t="shared" si="14"/>
        <v>0</v>
      </c>
      <c r="X103" s="6">
        <f t="shared" si="15"/>
        <v>0</v>
      </c>
      <c r="Y103" s="5">
        <f t="shared" si="16"/>
        <v>0</v>
      </c>
      <c r="Z103" s="10">
        <f t="shared" si="17"/>
        <v>0</v>
      </c>
      <c r="AA103" s="10">
        <f t="shared" si="18"/>
        <v>0</v>
      </c>
      <c r="AB103" s="10">
        <f t="shared" si="19"/>
        <v>0</v>
      </c>
      <c r="AC103" s="6">
        <f t="shared" si="20"/>
        <v>0</v>
      </c>
    </row>
    <row r="104" spans="1:29" x14ac:dyDescent="0.25">
      <c r="A104" t="s">
        <v>114</v>
      </c>
      <c r="B104" t="s">
        <v>88</v>
      </c>
      <c r="C104" s="1" t="s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 s="1">
        <v>45419</v>
      </c>
      <c r="J104" s="1">
        <v>45419</v>
      </c>
      <c r="K104" s="1">
        <v>45419</v>
      </c>
      <c r="L104" s="1">
        <v>45419</v>
      </c>
      <c r="M104" s="1">
        <v>45419</v>
      </c>
      <c r="N104" s="5"/>
      <c r="S104" s="6"/>
      <c r="T104" s="5">
        <f t="shared" si="11"/>
        <v>0</v>
      </c>
      <c r="U104" s="10">
        <f t="shared" si="12"/>
        <v>0</v>
      </c>
      <c r="V104" s="10">
        <f t="shared" si="13"/>
        <v>0</v>
      </c>
      <c r="W104" s="10">
        <f t="shared" si="14"/>
        <v>0</v>
      </c>
      <c r="X104" s="6">
        <f t="shared" si="15"/>
        <v>0</v>
      </c>
      <c r="Y104" s="5">
        <f t="shared" si="16"/>
        <v>0</v>
      </c>
      <c r="Z104" s="10">
        <f t="shared" si="17"/>
        <v>0</v>
      </c>
      <c r="AA104" s="10">
        <f t="shared" si="18"/>
        <v>0</v>
      </c>
      <c r="AB104" s="10">
        <f t="shared" si="19"/>
        <v>0</v>
      </c>
      <c r="AC104" s="6">
        <f t="shared" si="20"/>
        <v>0</v>
      </c>
    </row>
    <row r="105" spans="1:29" x14ac:dyDescent="0.25">
      <c r="A105" t="s">
        <v>114</v>
      </c>
      <c r="B105" t="s">
        <v>118</v>
      </c>
      <c r="C105" s="1" t="s">
        <v>7</v>
      </c>
      <c r="D105">
        <v>0</v>
      </c>
      <c r="E105">
        <v>37</v>
      </c>
      <c r="F105">
        <v>0</v>
      </c>
      <c r="G105">
        <v>0</v>
      </c>
      <c r="H105">
        <v>0</v>
      </c>
      <c r="I105" s="1">
        <v>45419</v>
      </c>
      <c r="J105" s="1">
        <v>45456</v>
      </c>
      <c r="K105" s="1">
        <v>45419</v>
      </c>
      <c r="L105" s="1">
        <v>45419</v>
      </c>
      <c r="M105" s="1">
        <v>45419</v>
      </c>
      <c r="N105" s="5">
        <v>104.42656265361261</v>
      </c>
      <c r="P105">
        <v>103.82856589948111</v>
      </c>
      <c r="S105" s="6"/>
      <c r="T105" s="5">
        <f t="shared" si="11"/>
        <v>0</v>
      </c>
      <c r="U105" s="10">
        <f t="shared" si="12"/>
        <v>-0.57264812604728155</v>
      </c>
      <c r="V105" s="10">
        <f t="shared" si="13"/>
        <v>0</v>
      </c>
      <c r="W105" s="10">
        <f t="shared" si="14"/>
        <v>0</v>
      </c>
      <c r="X105" s="6">
        <f t="shared" si="15"/>
        <v>0</v>
      </c>
      <c r="Y105" s="5">
        <f t="shared" si="16"/>
        <v>0</v>
      </c>
      <c r="Z105" s="10">
        <f t="shared" si="17"/>
        <v>-5.7264812604728146</v>
      </c>
      <c r="AA105" s="10">
        <f t="shared" si="18"/>
        <v>0</v>
      </c>
      <c r="AB105" s="10">
        <f t="shared" si="19"/>
        <v>0</v>
      </c>
      <c r="AC105" s="6">
        <f t="shared" si="20"/>
        <v>0</v>
      </c>
    </row>
    <row r="106" spans="1:29" x14ac:dyDescent="0.25">
      <c r="A106" t="s">
        <v>114</v>
      </c>
      <c r="B106" t="s">
        <v>68</v>
      </c>
      <c r="C106" s="1" t="s">
        <v>7</v>
      </c>
      <c r="D106">
        <v>0</v>
      </c>
      <c r="E106">
        <v>0</v>
      </c>
      <c r="F106">
        <v>0</v>
      </c>
      <c r="G106">
        <v>0</v>
      </c>
      <c r="H106">
        <v>0</v>
      </c>
      <c r="I106" s="1">
        <v>45419</v>
      </c>
      <c r="J106" s="1">
        <v>45419</v>
      </c>
      <c r="K106" s="1">
        <v>45419</v>
      </c>
      <c r="L106" s="1">
        <v>45419</v>
      </c>
      <c r="M106" s="1">
        <v>45419</v>
      </c>
      <c r="N106" s="5"/>
      <c r="S106" s="6"/>
      <c r="T106" s="5">
        <f t="shared" si="11"/>
        <v>0</v>
      </c>
      <c r="U106" s="10">
        <f t="shared" si="12"/>
        <v>0</v>
      </c>
      <c r="V106" s="10">
        <f t="shared" si="13"/>
        <v>0</v>
      </c>
      <c r="W106" s="10">
        <f t="shared" si="14"/>
        <v>0</v>
      </c>
      <c r="X106" s="6">
        <f t="shared" si="15"/>
        <v>0</v>
      </c>
      <c r="Y106" s="5">
        <f t="shared" si="16"/>
        <v>0</v>
      </c>
      <c r="Z106" s="10">
        <f t="shared" si="17"/>
        <v>0</v>
      </c>
      <c r="AA106" s="10">
        <f t="shared" si="18"/>
        <v>0</v>
      </c>
      <c r="AB106" s="10">
        <f t="shared" si="19"/>
        <v>0</v>
      </c>
      <c r="AC106" s="6">
        <f t="shared" si="20"/>
        <v>0</v>
      </c>
    </row>
    <row r="107" spans="1:29" x14ac:dyDescent="0.25">
      <c r="A107" t="s">
        <v>114</v>
      </c>
      <c r="B107" t="s">
        <v>119</v>
      </c>
      <c r="C107" s="1" t="s">
        <v>7</v>
      </c>
      <c r="D107">
        <v>0</v>
      </c>
      <c r="E107">
        <v>0</v>
      </c>
      <c r="F107">
        <v>0</v>
      </c>
      <c r="G107">
        <v>0</v>
      </c>
      <c r="H107">
        <v>0</v>
      </c>
      <c r="I107" s="1">
        <v>45419</v>
      </c>
      <c r="J107" s="1">
        <v>45419</v>
      </c>
      <c r="K107" s="1">
        <v>45419</v>
      </c>
      <c r="L107" s="1">
        <v>45419</v>
      </c>
      <c r="M107" s="1">
        <v>45419</v>
      </c>
      <c r="N107" s="5"/>
      <c r="S107" s="6"/>
      <c r="T107" s="5">
        <f t="shared" si="11"/>
        <v>0</v>
      </c>
      <c r="U107" s="10">
        <f t="shared" si="12"/>
        <v>0</v>
      </c>
      <c r="V107" s="10">
        <f t="shared" si="13"/>
        <v>0</v>
      </c>
      <c r="W107" s="10">
        <f t="shared" si="14"/>
        <v>0</v>
      </c>
      <c r="X107" s="6">
        <f t="shared" si="15"/>
        <v>0</v>
      </c>
      <c r="Y107" s="5">
        <f t="shared" si="16"/>
        <v>0</v>
      </c>
      <c r="Z107" s="10">
        <f t="shared" si="17"/>
        <v>0</v>
      </c>
      <c r="AA107" s="10">
        <f t="shared" si="18"/>
        <v>0</v>
      </c>
      <c r="AB107" s="10">
        <f t="shared" si="19"/>
        <v>0</v>
      </c>
      <c r="AC107" s="6">
        <f t="shared" si="20"/>
        <v>0</v>
      </c>
    </row>
    <row r="108" spans="1:29" x14ac:dyDescent="0.25">
      <c r="A108" t="s">
        <v>114</v>
      </c>
      <c r="B108" t="s">
        <v>22</v>
      </c>
      <c r="C108" s="1" t="s">
        <v>7</v>
      </c>
      <c r="D108">
        <v>0</v>
      </c>
      <c r="E108">
        <v>0</v>
      </c>
      <c r="F108">
        <v>0</v>
      </c>
      <c r="G108">
        <v>0</v>
      </c>
      <c r="H108">
        <v>34</v>
      </c>
      <c r="I108" s="1">
        <v>45419</v>
      </c>
      <c r="J108" s="1">
        <v>45419</v>
      </c>
      <c r="K108" s="1">
        <v>45419</v>
      </c>
      <c r="L108" s="1">
        <v>45419</v>
      </c>
      <c r="M108" s="1">
        <v>45453</v>
      </c>
      <c r="N108" s="5">
        <v>166.69645437419501</v>
      </c>
      <c r="S108" s="6">
        <v>159.63362969776659</v>
      </c>
      <c r="T108" s="5">
        <f t="shared" si="11"/>
        <v>0</v>
      </c>
      <c r="U108" s="10">
        <f t="shared" si="12"/>
        <v>0</v>
      </c>
      <c r="V108" s="10">
        <f t="shared" si="13"/>
        <v>0</v>
      </c>
      <c r="W108" s="10">
        <f t="shared" si="14"/>
        <v>0</v>
      </c>
      <c r="X108" s="6">
        <f t="shared" si="15"/>
        <v>-4.23693755391702</v>
      </c>
      <c r="Y108" s="5">
        <f t="shared" si="16"/>
        <v>0</v>
      </c>
      <c r="Z108" s="10">
        <f t="shared" si="17"/>
        <v>0</v>
      </c>
      <c r="AA108" s="10">
        <f t="shared" si="18"/>
        <v>0</v>
      </c>
      <c r="AB108" s="10">
        <f t="shared" si="19"/>
        <v>0</v>
      </c>
      <c r="AC108" s="6">
        <f t="shared" si="20"/>
        <v>-42.369375539170193</v>
      </c>
    </row>
    <row r="109" spans="1:29" x14ac:dyDescent="0.25">
      <c r="A109" t="s">
        <v>114</v>
      </c>
      <c r="B109" t="s">
        <v>96</v>
      </c>
      <c r="C109" s="1" t="s">
        <v>7</v>
      </c>
      <c r="D109">
        <v>0</v>
      </c>
      <c r="E109">
        <v>0</v>
      </c>
      <c r="F109">
        <v>0</v>
      </c>
      <c r="G109">
        <v>0</v>
      </c>
      <c r="H109">
        <v>0</v>
      </c>
      <c r="I109" s="1">
        <v>45419</v>
      </c>
      <c r="J109" s="1">
        <v>45419</v>
      </c>
      <c r="K109" s="1">
        <v>45419</v>
      </c>
      <c r="L109" s="1">
        <v>45419</v>
      </c>
      <c r="M109" s="1">
        <v>45419</v>
      </c>
      <c r="N109" s="5"/>
      <c r="S109" s="6"/>
      <c r="T109" s="5">
        <f t="shared" si="11"/>
        <v>0</v>
      </c>
      <c r="U109" s="10">
        <f t="shared" si="12"/>
        <v>0</v>
      </c>
      <c r="V109" s="10">
        <f t="shared" si="13"/>
        <v>0</v>
      </c>
      <c r="W109" s="10">
        <f t="shared" si="14"/>
        <v>0</v>
      </c>
      <c r="X109" s="6">
        <f t="shared" si="15"/>
        <v>0</v>
      </c>
      <c r="Y109" s="5">
        <f t="shared" si="16"/>
        <v>0</v>
      </c>
      <c r="Z109" s="10">
        <f t="shared" si="17"/>
        <v>0</v>
      </c>
      <c r="AA109" s="10">
        <f t="shared" si="18"/>
        <v>0</v>
      </c>
      <c r="AB109" s="10">
        <f t="shared" si="19"/>
        <v>0</v>
      </c>
      <c r="AC109" s="6">
        <f t="shared" si="20"/>
        <v>0</v>
      </c>
    </row>
    <row r="110" spans="1:29" x14ac:dyDescent="0.25">
      <c r="A110" t="s">
        <v>114</v>
      </c>
      <c r="B110" t="s">
        <v>120</v>
      </c>
      <c r="C110" s="1" t="s">
        <v>7</v>
      </c>
      <c r="D110">
        <v>0</v>
      </c>
      <c r="E110">
        <v>0</v>
      </c>
      <c r="F110">
        <v>0</v>
      </c>
      <c r="G110">
        <v>0</v>
      </c>
      <c r="H110">
        <v>0</v>
      </c>
      <c r="I110" s="1">
        <v>45419</v>
      </c>
      <c r="J110" s="1">
        <v>45419</v>
      </c>
      <c r="K110" s="1">
        <v>45419</v>
      </c>
      <c r="L110" s="1">
        <v>45419</v>
      </c>
      <c r="M110" s="1">
        <v>45419</v>
      </c>
      <c r="N110" s="5"/>
      <c r="S110" s="6"/>
      <c r="T110" s="5">
        <f t="shared" si="11"/>
        <v>0</v>
      </c>
      <c r="U110" s="10">
        <f t="shared" si="12"/>
        <v>0</v>
      </c>
      <c r="V110" s="10">
        <f t="shared" si="13"/>
        <v>0</v>
      </c>
      <c r="W110" s="10">
        <f t="shared" si="14"/>
        <v>0</v>
      </c>
      <c r="X110" s="6">
        <f t="shared" si="15"/>
        <v>0</v>
      </c>
      <c r="Y110" s="5">
        <f t="shared" si="16"/>
        <v>0</v>
      </c>
      <c r="Z110" s="10">
        <f t="shared" si="17"/>
        <v>0</v>
      </c>
      <c r="AA110" s="10">
        <f t="shared" si="18"/>
        <v>0</v>
      </c>
      <c r="AB110" s="10">
        <f t="shared" si="19"/>
        <v>0</v>
      </c>
      <c r="AC110" s="6">
        <f t="shared" si="20"/>
        <v>0</v>
      </c>
    </row>
    <row r="111" spans="1:29" x14ac:dyDescent="0.25">
      <c r="A111" t="s">
        <v>114</v>
      </c>
      <c r="B111" t="s">
        <v>22</v>
      </c>
      <c r="C111" s="1" t="s">
        <v>7</v>
      </c>
      <c r="D111">
        <v>0</v>
      </c>
      <c r="E111">
        <v>0</v>
      </c>
      <c r="F111">
        <v>0</v>
      </c>
      <c r="G111">
        <v>0</v>
      </c>
      <c r="H111">
        <v>34</v>
      </c>
      <c r="I111" s="1">
        <v>45419</v>
      </c>
      <c r="J111" s="1">
        <v>45419</v>
      </c>
      <c r="K111" s="1">
        <v>45419</v>
      </c>
      <c r="L111" s="1">
        <v>45419</v>
      </c>
      <c r="M111" s="1">
        <v>45453</v>
      </c>
      <c r="N111" s="5">
        <v>166.69645437419501</v>
      </c>
      <c r="S111" s="6">
        <v>159.63362969776659</v>
      </c>
      <c r="T111" s="5">
        <f t="shared" si="11"/>
        <v>0</v>
      </c>
      <c r="U111" s="10">
        <f t="shared" si="12"/>
        <v>0</v>
      </c>
      <c r="V111" s="10">
        <f t="shared" si="13"/>
        <v>0</v>
      </c>
      <c r="W111" s="10">
        <f t="shared" si="14"/>
        <v>0</v>
      </c>
      <c r="X111" s="6">
        <f t="shared" si="15"/>
        <v>-4.23693755391702</v>
      </c>
      <c r="Y111" s="5">
        <f t="shared" si="16"/>
        <v>0</v>
      </c>
      <c r="Z111" s="10">
        <f t="shared" si="17"/>
        <v>0</v>
      </c>
      <c r="AA111" s="10">
        <f t="shared" si="18"/>
        <v>0</v>
      </c>
      <c r="AB111" s="10">
        <f t="shared" si="19"/>
        <v>0</v>
      </c>
      <c r="AC111" s="6">
        <f t="shared" si="20"/>
        <v>-42.369375539170193</v>
      </c>
    </row>
    <row r="112" spans="1:29" x14ac:dyDescent="0.25">
      <c r="A112" t="s">
        <v>114</v>
      </c>
      <c r="B112" t="s">
        <v>121</v>
      </c>
      <c r="C112" s="1" t="s">
        <v>7</v>
      </c>
      <c r="D112">
        <v>0</v>
      </c>
      <c r="E112">
        <v>37</v>
      </c>
      <c r="F112">
        <v>0</v>
      </c>
      <c r="G112">
        <v>0</v>
      </c>
      <c r="H112">
        <v>0</v>
      </c>
      <c r="I112" s="1">
        <v>45419</v>
      </c>
      <c r="J112" s="1">
        <v>45456</v>
      </c>
      <c r="K112" s="1">
        <v>45419</v>
      </c>
      <c r="L112" s="1">
        <v>45419</v>
      </c>
      <c r="M112" s="1">
        <v>45419</v>
      </c>
      <c r="N112" s="5">
        <v>762.37392974576881</v>
      </c>
      <c r="P112">
        <v>866.0725436586456</v>
      </c>
      <c r="S112" s="6"/>
      <c r="T112" s="5">
        <f t="shared" si="11"/>
        <v>0</v>
      </c>
      <c r="U112" s="10">
        <f t="shared" si="12"/>
        <v>13.602067157183285</v>
      </c>
      <c r="V112" s="10">
        <f t="shared" si="13"/>
        <v>0</v>
      </c>
      <c r="W112" s="10">
        <f t="shared" si="14"/>
        <v>0</v>
      </c>
      <c r="X112" s="6">
        <f t="shared" si="15"/>
        <v>0</v>
      </c>
      <c r="Y112" s="5">
        <f t="shared" si="16"/>
        <v>0</v>
      </c>
      <c r="Z112" s="10">
        <f t="shared" si="17"/>
        <v>136.02067157183285</v>
      </c>
      <c r="AA112" s="10">
        <f t="shared" si="18"/>
        <v>0</v>
      </c>
      <c r="AB112" s="10">
        <f t="shared" si="19"/>
        <v>0</v>
      </c>
      <c r="AC112" s="6">
        <f t="shared" si="20"/>
        <v>0</v>
      </c>
    </row>
    <row r="113" spans="1:29" x14ac:dyDescent="0.25">
      <c r="A113" t="s">
        <v>114</v>
      </c>
      <c r="B113" t="s">
        <v>122</v>
      </c>
      <c r="C113" s="1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 s="1">
        <v>45419</v>
      </c>
      <c r="J113" s="1">
        <v>45419</v>
      </c>
      <c r="K113" s="1">
        <v>45419</v>
      </c>
      <c r="L113" s="1">
        <v>45419</v>
      </c>
      <c r="M113" s="1">
        <v>45419</v>
      </c>
      <c r="N113" s="5"/>
      <c r="S113" s="6"/>
      <c r="T113" s="5">
        <f t="shared" si="11"/>
        <v>0</v>
      </c>
      <c r="U113" s="10">
        <f t="shared" si="12"/>
        <v>0</v>
      </c>
      <c r="V113" s="10">
        <f t="shared" si="13"/>
        <v>0</v>
      </c>
      <c r="W113" s="10">
        <f t="shared" si="14"/>
        <v>0</v>
      </c>
      <c r="X113" s="6">
        <f t="shared" si="15"/>
        <v>0</v>
      </c>
      <c r="Y113" s="5">
        <f t="shared" si="16"/>
        <v>0</v>
      </c>
      <c r="Z113" s="10">
        <f t="shared" si="17"/>
        <v>0</v>
      </c>
      <c r="AA113" s="10">
        <f t="shared" si="18"/>
        <v>0</v>
      </c>
      <c r="AB113" s="10">
        <f t="shared" si="19"/>
        <v>0</v>
      </c>
      <c r="AC113" s="6">
        <f t="shared" si="20"/>
        <v>0</v>
      </c>
    </row>
    <row r="114" spans="1:29" x14ac:dyDescent="0.25">
      <c r="A114" t="s">
        <v>114</v>
      </c>
      <c r="B114" t="s">
        <v>123</v>
      </c>
      <c r="C114" s="1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 s="1">
        <v>45419</v>
      </c>
      <c r="J114" s="1">
        <v>45419</v>
      </c>
      <c r="K114" s="1">
        <v>45419</v>
      </c>
      <c r="L114" s="1">
        <v>45419</v>
      </c>
      <c r="M114" s="1">
        <v>45419</v>
      </c>
      <c r="N114" s="5"/>
      <c r="S114" s="6"/>
      <c r="T114" s="5">
        <f t="shared" si="11"/>
        <v>0</v>
      </c>
      <c r="U114" s="10">
        <f t="shared" si="12"/>
        <v>0</v>
      </c>
      <c r="V114" s="10">
        <f t="shared" si="13"/>
        <v>0</v>
      </c>
      <c r="W114" s="10">
        <f t="shared" si="14"/>
        <v>0</v>
      </c>
      <c r="X114" s="6">
        <f t="shared" si="15"/>
        <v>0</v>
      </c>
      <c r="Y114" s="5">
        <f t="shared" si="16"/>
        <v>0</v>
      </c>
      <c r="Z114" s="10">
        <f t="shared" si="17"/>
        <v>0</v>
      </c>
      <c r="AA114" s="10">
        <f t="shared" si="18"/>
        <v>0</v>
      </c>
      <c r="AB114" s="10">
        <f t="shared" si="19"/>
        <v>0</v>
      </c>
      <c r="AC114" s="6">
        <f t="shared" si="20"/>
        <v>0</v>
      </c>
    </row>
    <row r="115" spans="1:29" x14ac:dyDescent="0.25">
      <c r="A115" t="s">
        <v>114</v>
      </c>
      <c r="B115" t="s">
        <v>124</v>
      </c>
      <c r="C115" s="1" t="s">
        <v>7</v>
      </c>
      <c r="D115">
        <v>0</v>
      </c>
      <c r="E115">
        <v>0</v>
      </c>
      <c r="F115">
        <v>0</v>
      </c>
      <c r="G115">
        <v>0</v>
      </c>
      <c r="H115">
        <v>0</v>
      </c>
      <c r="I115" s="1">
        <v>45419</v>
      </c>
      <c r="J115" s="1">
        <v>45419</v>
      </c>
      <c r="K115" s="1">
        <v>45419</v>
      </c>
      <c r="L115" s="1">
        <v>45419</v>
      </c>
      <c r="M115" s="1">
        <v>45419</v>
      </c>
      <c r="N115" s="5"/>
      <c r="S115" s="6"/>
      <c r="T115" s="5">
        <f t="shared" si="11"/>
        <v>0</v>
      </c>
      <c r="U115" s="10">
        <f t="shared" si="12"/>
        <v>0</v>
      </c>
      <c r="V115" s="10">
        <f t="shared" si="13"/>
        <v>0</v>
      </c>
      <c r="W115" s="10">
        <f t="shared" si="14"/>
        <v>0</v>
      </c>
      <c r="X115" s="6">
        <f t="shared" si="15"/>
        <v>0</v>
      </c>
      <c r="Y115" s="5">
        <f t="shared" si="16"/>
        <v>0</v>
      </c>
      <c r="Z115" s="10">
        <f t="shared" si="17"/>
        <v>0</v>
      </c>
      <c r="AA115" s="10">
        <f t="shared" si="18"/>
        <v>0</v>
      </c>
      <c r="AB115" s="10">
        <f t="shared" si="19"/>
        <v>0</v>
      </c>
      <c r="AC115" s="6">
        <f t="shared" si="20"/>
        <v>0</v>
      </c>
    </row>
    <row r="116" spans="1:29" x14ac:dyDescent="0.25">
      <c r="A116" t="s">
        <v>114</v>
      </c>
      <c r="B116" t="s">
        <v>125</v>
      </c>
      <c r="C116" s="1" t="s">
        <v>7</v>
      </c>
      <c r="D116">
        <v>0</v>
      </c>
      <c r="E116">
        <v>0</v>
      </c>
      <c r="F116">
        <v>0</v>
      </c>
      <c r="G116">
        <v>0</v>
      </c>
      <c r="H116">
        <v>0</v>
      </c>
      <c r="I116" s="1">
        <v>45419</v>
      </c>
      <c r="J116" s="1">
        <v>45419</v>
      </c>
      <c r="K116" s="1">
        <v>45419</v>
      </c>
      <c r="L116" s="1">
        <v>45419</v>
      </c>
      <c r="M116" s="1">
        <v>45419</v>
      </c>
      <c r="N116" s="5"/>
      <c r="S116" s="6"/>
      <c r="T116" s="5">
        <f t="shared" si="11"/>
        <v>0</v>
      </c>
      <c r="U116" s="10">
        <f t="shared" si="12"/>
        <v>0</v>
      </c>
      <c r="V116" s="10">
        <f t="shared" si="13"/>
        <v>0</v>
      </c>
      <c r="W116" s="10">
        <f t="shared" si="14"/>
        <v>0</v>
      </c>
      <c r="X116" s="6">
        <f t="shared" si="15"/>
        <v>0</v>
      </c>
      <c r="Y116" s="5">
        <f t="shared" si="16"/>
        <v>0</v>
      </c>
      <c r="Z116" s="10">
        <f t="shared" si="17"/>
        <v>0</v>
      </c>
      <c r="AA116" s="10">
        <f t="shared" si="18"/>
        <v>0</v>
      </c>
      <c r="AB116" s="10">
        <f t="shared" si="19"/>
        <v>0</v>
      </c>
      <c r="AC116" s="6">
        <f t="shared" si="20"/>
        <v>0</v>
      </c>
    </row>
    <row r="117" spans="1:29" x14ac:dyDescent="0.25">
      <c r="A117" t="s">
        <v>114</v>
      </c>
      <c r="B117" t="s">
        <v>125</v>
      </c>
      <c r="C117" s="1" t="s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 s="1">
        <v>45419</v>
      </c>
      <c r="J117" s="1">
        <v>45419</v>
      </c>
      <c r="K117" s="1">
        <v>45419</v>
      </c>
      <c r="L117" s="1">
        <v>45419</v>
      </c>
      <c r="M117" s="1">
        <v>45419</v>
      </c>
      <c r="N117" s="5"/>
      <c r="S117" s="6"/>
      <c r="T117" s="5">
        <f t="shared" si="11"/>
        <v>0</v>
      </c>
      <c r="U117" s="10">
        <f t="shared" si="12"/>
        <v>0</v>
      </c>
      <c r="V117" s="10">
        <f t="shared" si="13"/>
        <v>0</v>
      </c>
      <c r="W117" s="10">
        <f t="shared" si="14"/>
        <v>0</v>
      </c>
      <c r="X117" s="6">
        <f t="shared" si="15"/>
        <v>0</v>
      </c>
      <c r="Y117" s="5">
        <f t="shared" si="16"/>
        <v>0</v>
      </c>
      <c r="Z117" s="10">
        <f t="shared" si="17"/>
        <v>0</v>
      </c>
      <c r="AA117" s="10">
        <f t="shared" si="18"/>
        <v>0</v>
      </c>
      <c r="AB117" s="10">
        <f t="shared" si="19"/>
        <v>0</v>
      </c>
      <c r="AC117" s="6">
        <f t="shared" si="20"/>
        <v>0</v>
      </c>
    </row>
    <row r="118" spans="1:29" x14ac:dyDescent="0.25">
      <c r="A118" t="s">
        <v>114</v>
      </c>
      <c r="B118" t="s">
        <v>125</v>
      </c>
      <c r="C118" s="1" t="s">
        <v>7</v>
      </c>
      <c r="D118">
        <v>0</v>
      </c>
      <c r="E118">
        <v>0</v>
      </c>
      <c r="F118">
        <v>0</v>
      </c>
      <c r="G118">
        <v>0</v>
      </c>
      <c r="H118">
        <v>0</v>
      </c>
      <c r="I118" s="1">
        <v>45419</v>
      </c>
      <c r="J118" s="1">
        <v>45419</v>
      </c>
      <c r="K118" s="1">
        <v>45419</v>
      </c>
      <c r="L118" s="1">
        <v>45419</v>
      </c>
      <c r="M118" s="1">
        <v>45419</v>
      </c>
      <c r="N118" s="5"/>
      <c r="S118" s="6"/>
      <c r="T118" s="5">
        <f t="shared" si="11"/>
        <v>0</v>
      </c>
      <c r="U118" s="10">
        <f t="shared" si="12"/>
        <v>0</v>
      </c>
      <c r="V118" s="10">
        <f t="shared" si="13"/>
        <v>0</v>
      </c>
      <c r="W118" s="10">
        <f t="shared" si="14"/>
        <v>0</v>
      </c>
      <c r="X118" s="6">
        <f t="shared" si="15"/>
        <v>0</v>
      </c>
      <c r="Y118" s="5">
        <f t="shared" si="16"/>
        <v>0</v>
      </c>
      <c r="Z118" s="10">
        <f t="shared" si="17"/>
        <v>0</v>
      </c>
      <c r="AA118" s="10">
        <f t="shared" si="18"/>
        <v>0</v>
      </c>
      <c r="AB118" s="10">
        <f t="shared" si="19"/>
        <v>0</v>
      </c>
      <c r="AC118" s="6">
        <f t="shared" si="20"/>
        <v>0</v>
      </c>
    </row>
    <row r="119" spans="1:29" x14ac:dyDescent="0.25">
      <c r="A119" t="s">
        <v>114</v>
      </c>
      <c r="B119" t="s">
        <v>126</v>
      </c>
      <c r="C119" s="1" t="s">
        <v>7</v>
      </c>
      <c r="D119">
        <v>0</v>
      </c>
      <c r="E119">
        <v>0</v>
      </c>
      <c r="F119">
        <v>0</v>
      </c>
      <c r="G119">
        <v>0</v>
      </c>
      <c r="H119">
        <v>0</v>
      </c>
      <c r="I119" s="1">
        <v>45419</v>
      </c>
      <c r="J119" s="1">
        <v>45419</v>
      </c>
      <c r="K119" s="1">
        <v>45419</v>
      </c>
      <c r="L119" s="1">
        <v>45419</v>
      </c>
      <c r="M119" s="1">
        <v>45419</v>
      </c>
      <c r="N119" s="5"/>
      <c r="S119" s="6"/>
      <c r="T119" s="5">
        <f t="shared" si="11"/>
        <v>0</v>
      </c>
      <c r="U119" s="10">
        <f t="shared" si="12"/>
        <v>0</v>
      </c>
      <c r="V119" s="10">
        <f t="shared" si="13"/>
        <v>0</v>
      </c>
      <c r="W119" s="10">
        <f t="shared" si="14"/>
        <v>0</v>
      </c>
      <c r="X119" s="6">
        <f t="shared" si="15"/>
        <v>0</v>
      </c>
      <c r="Y119" s="5">
        <f t="shared" si="16"/>
        <v>0</v>
      </c>
      <c r="Z119" s="10">
        <f t="shared" si="17"/>
        <v>0</v>
      </c>
      <c r="AA119" s="10">
        <f t="shared" si="18"/>
        <v>0</v>
      </c>
      <c r="AB119" s="10">
        <f t="shared" si="19"/>
        <v>0</v>
      </c>
      <c r="AC119" s="6">
        <f t="shared" si="20"/>
        <v>0</v>
      </c>
    </row>
    <row r="120" spans="1:29" x14ac:dyDescent="0.25">
      <c r="A120" t="s">
        <v>114</v>
      </c>
      <c r="B120" t="s">
        <v>125</v>
      </c>
      <c r="C120" s="1" t="s">
        <v>7</v>
      </c>
      <c r="D120">
        <v>0</v>
      </c>
      <c r="E120">
        <v>0</v>
      </c>
      <c r="F120">
        <v>0</v>
      </c>
      <c r="G120">
        <v>0</v>
      </c>
      <c r="H120">
        <v>0</v>
      </c>
      <c r="I120" s="1">
        <v>45419</v>
      </c>
      <c r="J120" s="1">
        <v>45419</v>
      </c>
      <c r="K120" s="1">
        <v>45419</v>
      </c>
      <c r="L120" s="1">
        <v>45419</v>
      </c>
      <c r="M120" s="1">
        <v>45419</v>
      </c>
      <c r="N120" s="5"/>
      <c r="S120" s="6"/>
      <c r="T120" s="5">
        <f t="shared" si="11"/>
        <v>0</v>
      </c>
      <c r="U120" s="10">
        <f t="shared" si="12"/>
        <v>0</v>
      </c>
      <c r="V120" s="10">
        <f t="shared" si="13"/>
        <v>0</v>
      </c>
      <c r="W120" s="10">
        <f t="shared" si="14"/>
        <v>0</v>
      </c>
      <c r="X120" s="6">
        <f t="shared" si="15"/>
        <v>0</v>
      </c>
      <c r="Y120" s="5">
        <f t="shared" si="16"/>
        <v>0</v>
      </c>
      <c r="Z120" s="10">
        <f t="shared" si="17"/>
        <v>0</v>
      </c>
      <c r="AA120" s="10">
        <f t="shared" si="18"/>
        <v>0</v>
      </c>
      <c r="AB120" s="10">
        <f t="shared" si="19"/>
        <v>0</v>
      </c>
      <c r="AC120" s="6">
        <f t="shared" si="20"/>
        <v>0</v>
      </c>
    </row>
    <row r="121" spans="1:29" x14ac:dyDescent="0.25">
      <c r="A121" t="s">
        <v>114</v>
      </c>
      <c r="B121" t="s">
        <v>127</v>
      </c>
      <c r="C121" s="1" t="s">
        <v>7</v>
      </c>
      <c r="D121">
        <v>0</v>
      </c>
      <c r="E121">
        <v>0</v>
      </c>
      <c r="F121">
        <v>0</v>
      </c>
      <c r="G121">
        <v>0</v>
      </c>
      <c r="H121">
        <v>0</v>
      </c>
      <c r="I121" s="1">
        <v>45419</v>
      </c>
      <c r="J121" s="1">
        <v>45419</v>
      </c>
      <c r="K121" s="1">
        <v>45419</v>
      </c>
      <c r="L121" s="1">
        <v>45419</v>
      </c>
      <c r="M121" s="1">
        <v>45419</v>
      </c>
      <c r="N121" s="5"/>
      <c r="S121" s="6"/>
      <c r="T121" s="5">
        <f t="shared" si="11"/>
        <v>0</v>
      </c>
      <c r="U121" s="10">
        <f t="shared" si="12"/>
        <v>0</v>
      </c>
      <c r="V121" s="10">
        <f t="shared" si="13"/>
        <v>0</v>
      </c>
      <c r="W121" s="10">
        <f t="shared" si="14"/>
        <v>0</v>
      </c>
      <c r="X121" s="6">
        <f t="shared" si="15"/>
        <v>0</v>
      </c>
      <c r="Y121" s="5">
        <f t="shared" si="16"/>
        <v>0</v>
      </c>
      <c r="Z121" s="10">
        <f t="shared" si="17"/>
        <v>0</v>
      </c>
      <c r="AA121" s="10">
        <f t="shared" si="18"/>
        <v>0</v>
      </c>
      <c r="AB121" s="10">
        <f t="shared" si="19"/>
        <v>0</v>
      </c>
      <c r="AC121" s="6">
        <f t="shared" si="20"/>
        <v>0</v>
      </c>
    </row>
    <row r="122" spans="1:29" x14ac:dyDescent="0.25">
      <c r="A122" t="s">
        <v>114</v>
      </c>
      <c r="B122" t="s">
        <v>128</v>
      </c>
      <c r="C122" s="1" t="s">
        <v>7</v>
      </c>
      <c r="D122">
        <v>0</v>
      </c>
      <c r="E122">
        <v>0</v>
      </c>
      <c r="F122">
        <v>0</v>
      </c>
      <c r="G122">
        <v>0</v>
      </c>
      <c r="H122">
        <v>0</v>
      </c>
      <c r="I122" s="1">
        <v>45419</v>
      </c>
      <c r="J122" s="1">
        <v>45419</v>
      </c>
      <c r="K122" s="1">
        <v>45419</v>
      </c>
      <c r="L122" s="1">
        <v>45419</v>
      </c>
      <c r="M122" s="1">
        <v>45419</v>
      </c>
      <c r="N122" s="5"/>
      <c r="S122" s="6"/>
      <c r="T122" s="5">
        <f t="shared" si="11"/>
        <v>0</v>
      </c>
      <c r="U122" s="10">
        <f t="shared" si="12"/>
        <v>0</v>
      </c>
      <c r="V122" s="10">
        <f t="shared" si="13"/>
        <v>0</v>
      </c>
      <c r="W122" s="10">
        <f t="shared" si="14"/>
        <v>0</v>
      </c>
      <c r="X122" s="6">
        <f t="shared" si="15"/>
        <v>0</v>
      </c>
      <c r="Y122" s="5">
        <f t="shared" si="16"/>
        <v>0</v>
      </c>
      <c r="Z122" s="10">
        <f t="shared" si="17"/>
        <v>0</v>
      </c>
      <c r="AA122" s="10">
        <f t="shared" si="18"/>
        <v>0</v>
      </c>
      <c r="AB122" s="10">
        <f t="shared" si="19"/>
        <v>0</v>
      </c>
      <c r="AC122" s="6">
        <f t="shared" si="20"/>
        <v>0</v>
      </c>
    </row>
    <row r="123" spans="1:29" x14ac:dyDescent="0.25">
      <c r="A123" t="s">
        <v>114</v>
      </c>
      <c r="B123" t="s">
        <v>129</v>
      </c>
      <c r="C123" s="1" t="s">
        <v>7</v>
      </c>
      <c r="D123">
        <v>0</v>
      </c>
      <c r="E123">
        <v>0</v>
      </c>
      <c r="F123">
        <v>0</v>
      </c>
      <c r="G123">
        <v>0</v>
      </c>
      <c r="H123">
        <v>13</v>
      </c>
      <c r="I123" s="1">
        <v>45419</v>
      </c>
      <c r="J123" s="1">
        <v>45419</v>
      </c>
      <c r="K123" s="1">
        <v>45419</v>
      </c>
      <c r="L123" s="1">
        <v>45419</v>
      </c>
      <c r="M123" s="1">
        <v>45432</v>
      </c>
      <c r="N123" s="5">
        <v>119.5986912386762</v>
      </c>
      <c r="S123" s="6">
        <v>127.7710160379998</v>
      </c>
      <c r="T123" s="5">
        <f t="shared" si="11"/>
        <v>0</v>
      </c>
      <c r="U123" s="10">
        <f t="shared" si="12"/>
        <v>0</v>
      </c>
      <c r="V123" s="10">
        <f t="shared" si="13"/>
        <v>0</v>
      </c>
      <c r="W123" s="10">
        <f t="shared" si="14"/>
        <v>0</v>
      </c>
      <c r="X123" s="6">
        <f t="shared" si="15"/>
        <v>6.8331222647031842</v>
      </c>
      <c r="Y123" s="5">
        <f t="shared" si="16"/>
        <v>0</v>
      </c>
      <c r="Z123" s="10">
        <f t="shared" si="17"/>
        <v>0</v>
      </c>
      <c r="AA123" s="10">
        <f t="shared" si="18"/>
        <v>0</v>
      </c>
      <c r="AB123" s="10">
        <f t="shared" si="19"/>
        <v>0</v>
      </c>
      <c r="AC123" s="6">
        <f t="shared" si="20"/>
        <v>68.331222647031851</v>
      </c>
    </row>
    <row r="124" spans="1:29" x14ac:dyDescent="0.25">
      <c r="A124" t="s">
        <v>114</v>
      </c>
      <c r="B124" t="s">
        <v>130</v>
      </c>
      <c r="C124" s="1" t="s">
        <v>7</v>
      </c>
      <c r="D124">
        <v>0</v>
      </c>
      <c r="E124">
        <v>0</v>
      </c>
      <c r="F124">
        <v>0</v>
      </c>
      <c r="G124">
        <v>0</v>
      </c>
      <c r="H124">
        <v>0</v>
      </c>
      <c r="I124" s="1">
        <v>45419</v>
      </c>
      <c r="J124" s="1">
        <v>45419</v>
      </c>
      <c r="K124" s="1">
        <v>45419</v>
      </c>
      <c r="L124" s="1">
        <v>45419</v>
      </c>
      <c r="M124" s="1">
        <v>45419</v>
      </c>
      <c r="N124" s="5"/>
      <c r="S124" s="6"/>
      <c r="T124" s="5">
        <f t="shared" si="11"/>
        <v>0</v>
      </c>
      <c r="U124" s="10">
        <f t="shared" si="12"/>
        <v>0</v>
      </c>
      <c r="V124" s="10">
        <f t="shared" si="13"/>
        <v>0</v>
      </c>
      <c r="W124" s="10">
        <f t="shared" si="14"/>
        <v>0</v>
      </c>
      <c r="X124" s="6">
        <f t="shared" si="15"/>
        <v>0</v>
      </c>
      <c r="Y124" s="5">
        <f t="shared" si="16"/>
        <v>0</v>
      </c>
      <c r="Z124" s="10">
        <f t="shared" si="17"/>
        <v>0</v>
      </c>
      <c r="AA124" s="10">
        <f t="shared" si="18"/>
        <v>0</v>
      </c>
      <c r="AB124" s="10">
        <f t="shared" si="19"/>
        <v>0</v>
      </c>
      <c r="AC124" s="6">
        <f t="shared" si="20"/>
        <v>0</v>
      </c>
    </row>
    <row r="125" spans="1:29" x14ac:dyDescent="0.25">
      <c r="A125" t="s">
        <v>114</v>
      </c>
      <c r="B125" t="s">
        <v>131</v>
      </c>
      <c r="C125" s="1" t="s">
        <v>7</v>
      </c>
      <c r="D125">
        <v>0</v>
      </c>
      <c r="E125">
        <v>0</v>
      </c>
      <c r="F125">
        <v>0</v>
      </c>
      <c r="G125">
        <v>0</v>
      </c>
      <c r="H125">
        <v>0</v>
      </c>
      <c r="I125" s="1">
        <v>45419</v>
      </c>
      <c r="J125" s="1">
        <v>45419</v>
      </c>
      <c r="K125" s="1">
        <v>45419</v>
      </c>
      <c r="L125" s="1">
        <v>45419</v>
      </c>
      <c r="M125" s="1">
        <v>45419</v>
      </c>
      <c r="N125" s="5"/>
      <c r="S125" s="6"/>
      <c r="T125" s="5">
        <f t="shared" si="11"/>
        <v>0</v>
      </c>
      <c r="U125" s="10">
        <f t="shared" si="12"/>
        <v>0</v>
      </c>
      <c r="V125" s="10">
        <f t="shared" si="13"/>
        <v>0</v>
      </c>
      <c r="W125" s="10">
        <f t="shared" si="14"/>
        <v>0</v>
      </c>
      <c r="X125" s="6">
        <f t="shared" si="15"/>
        <v>0</v>
      </c>
      <c r="Y125" s="5">
        <f t="shared" si="16"/>
        <v>0</v>
      </c>
      <c r="Z125" s="10">
        <f t="shared" si="17"/>
        <v>0</v>
      </c>
      <c r="AA125" s="10">
        <f t="shared" si="18"/>
        <v>0</v>
      </c>
      <c r="AB125" s="10">
        <f t="shared" si="19"/>
        <v>0</v>
      </c>
      <c r="AC125" s="6">
        <f t="shared" si="20"/>
        <v>0</v>
      </c>
    </row>
    <row r="126" spans="1:29" x14ac:dyDescent="0.25">
      <c r="A126" t="s">
        <v>114</v>
      </c>
      <c r="B126" t="s">
        <v>96</v>
      </c>
      <c r="C126" s="1" t="s">
        <v>7</v>
      </c>
      <c r="D126">
        <v>0</v>
      </c>
      <c r="E126">
        <v>0</v>
      </c>
      <c r="F126">
        <v>0</v>
      </c>
      <c r="G126">
        <v>0</v>
      </c>
      <c r="H126">
        <v>0</v>
      </c>
      <c r="I126" s="1">
        <v>45419</v>
      </c>
      <c r="J126" s="1">
        <v>45419</v>
      </c>
      <c r="K126" s="1">
        <v>45419</v>
      </c>
      <c r="L126" s="1">
        <v>45419</v>
      </c>
      <c r="M126" s="1">
        <v>45419</v>
      </c>
      <c r="N126" s="5"/>
      <c r="S126" s="6"/>
      <c r="T126" s="5">
        <f t="shared" si="11"/>
        <v>0</v>
      </c>
      <c r="U126" s="10">
        <f t="shared" si="12"/>
        <v>0</v>
      </c>
      <c r="V126" s="10">
        <f t="shared" si="13"/>
        <v>0</v>
      </c>
      <c r="W126" s="10">
        <f t="shared" si="14"/>
        <v>0</v>
      </c>
      <c r="X126" s="6">
        <f t="shared" si="15"/>
        <v>0</v>
      </c>
      <c r="Y126" s="5">
        <f t="shared" si="16"/>
        <v>0</v>
      </c>
      <c r="Z126" s="10">
        <f t="shared" si="17"/>
        <v>0</v>
      </c>
      <c r="AA126" s="10">
        <f t="shared" si="18"/>
        <v>0</v>
      </c>
      <c r="AB126" s="10">
        <f t="shared" si="19"/>
        <v>0</v>
      </c>
      <c r="AC126" s="6">
        <f t="shared" si="20"/>
        <v>0</v>
      </c>
    </row>
    <row r="127" spans="1:29" x14ac:dyDescent="0.25">
      <c r="A127" t="s">
        <v>114</v>
      </c>
      <c r="B127" t="s">
        <v>132</v>
      </c>
      <c r="C127" s="1" t="s">
        <v>7</v>
      </c>
      <c r="D127">
        <v>0</v>
      </c>
      <c r="E127">
        <v>0</v>
      </c>
      <c r="F127">
        <v>0</v>
      </c>
      <c r="G127">
        <v>0</v>
      </c>
      <c r="H127">
        <v>0</v>
      </c>
      <c r="I127" s="1">
        <v>45419</v>
      </c>
      <c r="J127" s="1">
        <v>45419</v>
      </c>
      <c r="K127" s="1">
        <v>45419</v>
      </c>
      <c r="L127" s="1">
        <v>45419</v>
      </c>
      <c r="M127" s="1">
        <v>45419</v>
      </c>
      <c r="N127" s="5"/>
      <c r="S127" s="6"/>
      <c r="T127" s="5">
        <f t="shared" si="11"/>
        <v>0</v>
      </c>
      <c r="U127" s="10">
        <f t="shared" si="12"/>
        <v>0</v>
      </c>
      <c r="V127" s="10">
        <f t="shared" si="13"/>
        <v>0</v>
      </c>
      <c r="W127" s="10">
        <f t="shared" si="14"/>
        <v>0</v>
      </c>
      <c r="X127" s="6">
        <f t="shared" si="15"/>
        <v>0</v>
      </c>
      <c r="Y127" s="5">
        <f t="shared" si="16"/>
        <v>0</v>
      </c>
      <c r="Z127" s="10">
        <f t="shared" si="17"/>
        <v>0</v>
      </c>
      <c r="AA127" s="10">
        <f t="shared" si="18"/>
        <v>0</v>
      </c>
      <c r="AB127" s="10">
        <f t="shared" si="19"/>
        <v>0</v>
      </c>
      <c r="AC127" s="6">
        <f t="shared" si="20"/>
        <v>0</v>
      </c>
    </row>
    <row r="128" spans="1:29" x14ac:dyDescent="0.25">
      <c r="A128" t="s">
        <v>114</v>
      </c>
      <c r="B128" t="s">
        <v>133</v>
      </c>
      <c r="C128" s="1" t="s">
        <v>7</v>
      </c>
      <c r="D128">
        <v>0</v>
      </c>
      <c r="E128">
        <v>0</v>
      </c>
      <c r="F128">
        <v>38</v>
      </c>
      <c r="G128">
        <v>0</v>
      </c>
      <c r="H128">
        <v>0</v>
      </c>
      <c r="I128" s="1">
        <v>45419</v>
      </c>
      <c r="J128" s="1">
        <v>45419</v>
      </c>
      <c r="K128" s="1">
        <v>45457</v>
      </c>
      <c r="L128" s="1">
        <v>45419</v>
      </c>
      <c r="M128" s="1">
        <v>45419</v>
      </c>
      <c r="N128" s="5">
        <v>91.746687009738565</v>
      </c>
      <c r="Q128">
        <v>92.066056634634549</v>
      </c>
      <c r="S128" s="6"/>
      <c r="T128" s="5">
        <f t="shared" si="11"/>
        <v>0</v>
      </c>
      <c r="U128" s="10">
        <f t="shared" si="12"/>
        <v>0</v>
      </c>
      <c r="V128" s="10">
        <f t="shared" si="13"/>
        <v>0.3480993541075561</v>
      </c>
      <c r="W128" s="10">
        <f t="shared" si="14"/>
        <v>0</v>
      </c>
      <c r="X128" s="6">
        <f t="shared" si="15"/>
        <v>0</v>
      </c>
      <c r="Y128" s="5">
        <f t="shared" si="16"/>
        <v>0</v>
      </c>
      <c r="Z128" s="10">
        <f t="shared" si="17"/>
        <v>0</v>
      </c>
      <c r="AA128" s="10">
        <f t="shared" si="18"/>
        <v>3.480993541075561</v>
      </c>
      <c r="AB128" s="10">
        <f t="shared" si="19"/>
        <v>0</v>
      </c>
      <c r="AC128" s="6">
        <f t="shared" si="20"/>
        <v>0</v>
      </c>
    </row>
    <row r="129" spans="1:29" x14ac:dyDescent="0.25">
      <c r="A129" t="s">
        <v>114</v>
      </c>
      <c r="B129" t="s">
        <v>134</v>
      </c>
      <c r="C129" s="1" t="s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 s="1">
        <v>45419</v>
      </c>
      <c r="J129" s="1">
        <v>45419</v>
      </c>
      <c r="K129" s="1">
        <v>45419</v>
      </c>
      <c r="L129" s="1">
        <v>45419</v>
      </c>
      <c r="M129" s="1">
        <v>45419</v>
      </c>
      <c r="N129" s="5"/>
      <c r="S129" s="6"/>
      <c r="T129" s="5">
        <f t="shared" si="11"/>
        <v>0</v>
      </c>
      <c r="U129" s="10">
        <f t="shared" si="12"/>
        <v>0</v>
      </c>
      <c r="V129" s="10">
        <f t="shared" si="13"/>
        <v>0</v>
      </c>
      <c r="W129" s="10">
        <f t="shared" si="14"/>
        <v>0</v>
      </c>
      <c r="X129" s="6">
        <f t="shared" si="15"/>
        <v>0</v>
      </c>
      <c r="Y129" s="5">
        <f t="shared" si="16"/>
        <v>0</v>
      </c>
      <c r="Z129" s="10">
        <f t="shared" si="17"/>
        <v>0</v>
      </c>
      <c r="AA129" s="10">
        <f t="shared" si="18"/>
        <v>0</v>
      </c>
      <c r="AB129" s="10">
        <f t="shared" si="19"/>
        <v>0</v>
      </c>
      <c r="AC129" s="6">
        <f t="shared" si="20"/>
        <v>0</v>
      </c>
    </row>
    <row r="130" spans="1:29" x14ac:dyDescent="0.25">
      <c r="A130" t="s">
        <v>114</v>
      </c>
      <c r="B130" t="s">
        <v>135</v>
      </c>
      <c r="C130" s="1" t="s">
        <v>7</v>
      </c>
      <c r="D130">
        <v>0</v>
      </c>
      <c r="E130">
        <v>0</v>
      </c>
      <c r="F130">
        <v>0</v>
      </c>
      <c r="G130">
        <v>0</v>
      </c>
      <c r="H130">
        <v>0</v>
      </c>
      <c r="I130" s="1">
        <v>45419</v>
      </c>
      <c r="J130" s="1">
        <v>45419</v>
      </c>
      <c r="K130" s="1">
        <v>45419</v>
      </c>
      <c r="L130" s="1">
        <v>45419</v>
      </c>
      <c r="M130" s="1">
        <v>45419</v>
      </c>
      <c r="N130" s="5"/>
      <c r="S130" s="6"/>
      <c r="T130" s="5">
        <f t="shared" ref="T130:T193" si="21">IF((ISBLANK(O130)),0,((O130/$N130)-1)*100)</f>
        <v>0</v>
      </c>
      <c r="U130" s="10">
        <f t="shared" ref="U130:U193" si="22">IF((ISBLANK(P130)),0,((P130/$N130)-1)*100)</f>
        <v>0</v>
      </c>
      <c r="V130" s="10">
        <f t="shared" ref="V130:V193" si="23">IF((ISBLANK(Q130)),0,((Q130/$N130)-1)*100)</f>
        <v>0</v>
      </c>
      <c r="W130" s="10">
        <f t="shared" ref="W130:W193" si="24">IF((ISBLANK(R130)),0,((R130/$N130)-1)*100)</f>
        <v>0</v>
      </c>
      <c r="X130" s="6">
        <f t="shared" ref="X130:X193" si="25">IF((ISBLANK(S130)),0,((S130/$N130)-1)*100)</f>
        <v>0</v>
      </c>
      <c r="Y130" s="5">
        <f t="shared" si="16"/>
        <v>0</v>
      </c>
      <c r="Z130" s="10">
        <f t="shared" si="17"/>
        <v>0</v>
      </c>
      <c r="AA130" s="10">
        <f t="shared" si="18"/>
        <v>0</v>
      </c>
      <c r="AB130" s="10">
        <f t="shared" si="19"/>
        <v>0</v>
      </c>
      <c r="AC130" s="6">
        <f t="shared" si="20"/>
        <v>0</v>
      </c>
    </row>
    <row r="131" spans="1:29" x14ac:dyDescent="0.25">
      <c r="A131" t="s">
        <v>114</v>
      </c>
      <c r="B131" t="s">
        <v>136</v>
      </c>
      <c r="C131" s="1" t="s">
        <v>7</v>
      </c>
      <c r="D131">
        <v>0</v>
      </c>
      <c r="E131">
        <v>0</v>
      </c>
      <c r="F131">
        <v>0</v>
      </c>
      <c r="G131">
        <v>0</v>
      </c>
      <c r="H131">
        <v>0</v>
      </c>
      <c r="I131" s="1">
        <v>45419</v>
      </c>
      <c r="J131" s="1">
        <v>45419</v>
      </c>
      <c r="K131" s="1">
        <v>45419</v>
      </c>
      <c r="L131" s="1">
        <v>45419</v>
      </c>
      <c r="M131" s="1">
        <v>45419</v>
      </c>
      <c r="N131" s="5"/>
      <c r="S131" s="6"/>
      <c r="T131" s="5">
        <f t="shared" si="21"/>
        <v>0</v>
      </c>
      <c r="U131" s="10">
        <f t="shared" si="22"/>
        <v>0</v>
      </c>
      <c r="V131" s="10">
        <f t="shared" si="23"/>
        <v>0</v>
      </c>
      <c r="W131" s="10">
        <f t="shared" si="24"/>
        <v>0</v>
      </c>
      <c r="X131" s="6">
        <f t="shared" si="25"/>
        <v>0</v>
      </c>
      <c r="Y131" s="5">
        <f t="shared" ref="Y131:Y194" si="26">1000 * T131/100</f>
        <v>0</v>
      </c>
      <c r="Z131" s="10">
        <f t="shared" ref="Z131:Z194" si="27">1000 * U131/100</f>
        <v>0</v>
      </c>
      <c r="AA131" s="10">
        <f t="shared" ref="AA131:AA194" si="28">1000 * V131/100</f>
        <v>0</v>
      </c>
      <c r="AB131" s="10">
        <f t="shared" ref="AB131:AB194" si="29">1000 * W131/100</f>
        <v>0</v>
      </c>
      <c r="AC131" s="6">
        <f t="shared" ref="AC131:AC194" si="30">1000 * X131/100</f>
        <v>0</v>
      </c>
    </row>
    <row r="132" spans="1:29" x14ac:dyDescent="0.25">
      <c r="A132" t="s">
        <v>114</v>
      </c>
      <c r="B132" t="s">
        <v>89</v>
      </c>
      <c r="C132" s="1" t="s">
        <v>7</v>
      </c>
      <c r="D132">
        <v>0</v>
      </c>
      <c r="E132">
        <v>0</v>
      </c>
      <c r="F132">
        <v>0</v>
      </c>
      <c r="G132">
        <v>0</v>
      </c>
      <c r="H132">
        <v>0</v>
      </c>
      <c r="I132" s="1">
        <v>45419</v>
      </c>
      <c r="J132" s="1">
        <v>45419</v>
      </c>
      <c r="K132" s="1">
        <v>45419</v>
      </c>
      <c r="L132" s="1">
        <v>45419</v>
      </c>
      <c r="M132" s="1">
        <v>45419</v>
      </c>
      <c r="N132" s="5"/>
      <c r="S132" s="6"/>
      <c r="T132" s="5">
        <f t="shared" si="21"/>
        <v>0</v>
      </c>
      <c r="U132" s="10">
        <f t="shared" si="22"/>
        <v>0</v>
      </c>
      <c r="V132" s="10">
        <f t="shared" si="23"/>
        <v>0</v>
      </c>
      <c r="W132" s="10">
        <f t="shared" si="24"/>
        <v>0</v>
      </c>
      <c r="X132" s="6">
        <f t="shared" si="25"/>
        <v>0</v>
      </c>
      <c r="Y132" s="5">
        <f t="shared" si="26"/>
        <v>0</v>
      </c>
      <c r="Z132" s="10">
        <f t="shared" si="27"/>
        <v>0</v>
      </c>
      <c r="AA132" s="10">
        <f t="shared" si="28"/>
        <v>0</v>
      </c>
      <c r="AB132" s="10">
        <f t="shared" si="29"/>
        <v>0</v>
      </c>
      <c r="AC132" s="6">
        <f t="shared" si="30"/>
        <v>0</v>
      </c>
    </row>
    <row r="133" spans="1:29" x14ac:dyDescent="0.25">
      <c r="A133" t="s">
        <v>114</v>
      </c>
      <c r="B133" t="s">
        <v>117</v>
      </c>
      <c r="C133" s="1" t="s">
        <v>7</v>
      </c>
      <c r="D133">
        <v>0</v>
      </c>
      <c r="E133">
        <v>0</v>
      </c>
      <c r="F133">
        <v>0</v>
      </c>
      <c r="G133">
        <v>0</v>
      </c>
      <c r="H133">
        <v>0</v>
      </c>
      <c r="I133" s="1">
        <v>45419</v>
      </c>
      <c r="J133" s="1">
        <v>45419</v>
      </c>
      <c r="K133" s="1">
        <v>45419</v>
      </c>
      <c r="L133" s="1">
        <v>45419</v>
      </c>
      <c r="M133" s="1">
        <v>45419</v>
      </c>
      <c r="N133" s="5"/>
      <c r="S133" s="6"/>
      <c r="T133" s="5">
        <f t="shared" si="21"/>
        <v>0</v>
      </c>
      <c r="U133" s="10">
        <f t="shared" si="22"/>
        <v>0</v>
      </c>
      <c r="V133" s="10">
        <f t="shared" si="23"/>
        <v>0</v>
      </c>
      <c r="W133" s="10">
        <f t="shared" si="24"/>
        <v>0</v>
      </c>
      <c r="X133" s="6">
        <f t="shared" si="25"/>
        <v>0</v>
      </c>
      <c r="Y133" s="5">
        <f t="shared" si="26"/>
        <v>0</v>
      </c>
      <c r="Z133" s="10">
        <f t="shared" si="27"/>
        <v>0</v>
      </c>
      <c r="AA133" s="10">
        <f t="shared" si="28"/>
        <v>0</v>
      </c>
      <c r="AB133" s="10">
        <f t="shared" si="29"/>
        <v>0</v>
      </c>
      <c r="AC133" s="6">
        <f t="shared" si="30"/>
        <v>0</v>
      </c>
    </row>
    <row r="134" spans="1:29" x14ac:dyDescent="0.25">
      <c r="A134" t="s">
        <v>114</v>
      </c>
      <c r="B134" t="s">
        <v>137</v>
      </c>
      <c r="C134" s="1" t="s">
        <v>7</v>
      </c>
      <c r="D134">
        <v>0</v>
      </c>
      <c r="E134">
        <v>0</v>
      </c>
      <c r="F134">
        <v>0</v>
      </c>
      <c r="G134">
        <v>0</v>
      </c>
      <c r="H134">
        <v>0</v>
      </c>
      <c r="I134" s="1">
        <v>45419</v>
      </c>
      <c r="J134" s="1">
        <v>45419</v>
      </c>
      <c r="K134" s="1">
        <v>45419</v>
      </c>
      <c r="L134" s="1">
        <v>45419</v>
      </c>
      <c r="M134" s="1">
        <v>45419</v>
      </c>
      <c r="N134" s="5"/>
      <c r="S134" s="6"/>
      <c r="T134" s="5">
        <f t="shared" si="21"/>
        <v>0</v>
      </c>
      <c r="U134" s="10">
        <f t="shared" si="22"/>
        <v>0</v>
      </c>
      <c r="V134" s="10">
        <f t="shared" si="23"/>
        <v>0</v>
      </c>
      <c r="W134" s="10">
        <f t="shared" si="24"/>
        <v>0</v>
      </c>
      <c r="X134" s="6">
        <f t="shared" si="25"/>
        <v>0</v>
      </c>
      <c r="Y134" s="5">
        <f t="shared" si="26"/>
        <v>0</v>
      </c>
      <c r="Z134" s="10">
        <f t="shared" si="27"/>
        <v>0</v>
      </c>
      <c r="AA134" s="10">
        <f t="shared" si="28"/>
        <v>0</v>
      </c>
      <c r="AB134" s="10">
        <f t="shared" si="29"/>
        <v>0</v>
      </c>
      <c r="AC134" s="6">
        <f t="shared" si="30"/>
        <v>0</v>
      </c>
    </row>
    <row r="135" spans="1:29" x14ac:dyDescent="0.25">
      <c r="A135" t="s">
        <v>114</v>
      </c>
      <c r="B135" t="s">
        <v>138</v>
      </c>
      <c r="C135" s="1" t="s">
        <v>7</v>
      </c>
      <c r="D135">
        <v>0</v>
      </c>
      <c r="E135">
        <v>0</v>
      </c>
      <c r="F135">
        <v>0</v>
      </c>
      <c r="G135">
        <v>0</v>
      </c>
      <c r="H135">
        <v>0</v>
      </c>
      <c r="I135" s="1">
        <v>45419</v>
      </c>
      <c r="J135" s="1">
        <v>45419</v>
      </c>
      <c r="K135" s="1">
        <v>45419</v>
      </c>
      <c r="L135" s="1">
        <v>45419</v>
      </c>
      <c r="M135" s="1">
        <v>45419</v>
      </c>
      <c r="N135" s="5"/>
      <c r="S135" s="6"/>
      <c r="T135" s="5">
        <f t="shared" si="21"/>
        <v>0</v>
      </c>
      <c r="U135" s="10">
        <f t="shared" si="22"/>
        <v>0</v>
      </c>
      <c r="V135" s="10">
        <f t="shared" si="23"/>
        <v>0</v>
      </c>
      <c r="W135" s="10">
        <f t="shared" si="24"/>
        <v>0</v>
      </c>
      <c r="X135" s="6">
        <f t="shared" si="25"/>
        <v>0</v>
      </c>
      <c r="Y135" s="5">
        <f t="shared" si="26"/>
        <v>0</v>
      </c>
      <c r="Z135" s="10">
        <f t="shared" si="27"/>
        <v>0</v>
      </c>
      <c r="AA135" s="10">
        <f t="shared" si="28"/>
        <v>0</v>
      </c>
      <c r="AB135" s="10">
        <f t="shared" si="29"/>
        <v>0</v>
      </c>
      <c r="AC135" s="6">
        <f t="shared" si="30"/>
        <v>0</v>
      </c>
    </row>
    <row r="136" spans="1:29" x14ac:dyDescent="0.25">
      <c r="A136" t="s">
        <v>114</v>
      </c>
      <c r="B136" t="s">
        <v>139</v>
      </c>
      <c r="C136" s="1" t="s">
        <v>7</v>
      </c>
      <c r="D136">
        <v>0</v>
      </c>
      <c r="E136">
        <v>0</v>
      </c>
      <c r="F136">
        <v>0</v>
      </c>
      <c r="G136">
        <v>0</v>
      </c>
      <c r="H136">
        <v>0</v>
      </c>
      <c r="I136" s="1">
        <v>45419</v>
      </c>
      <c r="J136" s="1">
        <v>45419</v>
      </c>
      <c r="K136" s="1">
        <v>45419</v>
      </c>
      <c r="L136" s="1">
        <v>45419</v>
      </c>
      <c r="M136" s="1">
        <v>45419</v>
      </c>
      <c r="N136" s="5"/>
      <c r="S136" s="6"/>
      <c r="T136" s="5">
        <f t="shared" si="21"/>
        <v>0</v>
      </c>
      <c r="U136" s="10">
        <f t="shared" si="22"/>
        <v>0</v>
      </c>
      <c r="V136" s="10">
        <f t="shared" si="23"/>
        <v>0</v>
      </c>
      <c r="W136" s="10">
        <f t="shared" si="24"/>
        <v>0</v>
      </c>
      <c r="X136" s="6">
        <f t="shared" si="25"/>
        <v>0</v>
      </c>
      <c r="Y136" s="5">
        <f t="shared" si="26"/>
        <v>0</v>
      </c>
      <c r="Z136" s="10">
        <f t="shared" si="27"/>
        <v>0</v>
      </c>
      <c r="AA136" s="10">
        <f t="shared" si="28"/>
        <v>0</v>
      </c>
      <c r="AB136" s="10">
        <f t="shared" si="29"/>
        <v>0</v>
      </c>
      <c r="AC136" s="6">
        <f t="shared" si="30"/>
        <v>0</v>
      </c>
    </row>
    <row r="137" spans="1:29" x14ac:dyDescent="0.25">
      <c r="A137" t="s">
        <v>114</v>
      </c>
      <c r="B137" t="s">
        <v>140</v>
      </c>
      <c r="C137" s="1" t="s">
        <v>7</v>
      </c>
      <c r="D137">
        <v>0</v>
      </c>
      <c r="E137">
        <v>0</v>
      </c>
      <c r="F137">
        <v>0</v>
      </c>
      <c r="G137">
        <v>0</v>
      </c>
      <c r="H137">
        <v>0</v>
      </c>
      <c r="I137" s="1">
        <v>45419</v>
      </c>
      <c r="J137" s="1">
        <v>45419</v>
      </c>
      <c r="K137" s="1">
        <v>45419</v>
      </c>
      <c r="L137" s="1">
        <v>45419</v>
      </c>
      <c r="M137" s="1">
        <v>45419</v>
      </c>
      <c r="N137" s="5"/>
      <c r="S137" s="6"/>
      <c r="T137" s="5">
        <f t="shared" si="21"/>
        <v>0</v>
      </c>
      <c r="U137" s="10">
        <f t="shared" si="22"/>
        <v>0</v>
      </c>
      <c r="V137" s="10">
        <f t="shared" si="23"/>
        <v>0</v>
      </c>
      <c r="W137" s="10">
        <f t="shared" si="24"/>
        <v>0</v>
      </c>
      <c r="X137" s="6">
        <f t="shared" si="25"/>
        <v>0</v>
      </c>
      <c r="Y137" s="5">
        <f t="shared" si="26"/>
        <v>0</v>
      </c>
      <c r="Z137" s="10">
        <f t="shared" si="27"/>
        <v>0</v>
      </c>
      <c r="AA137" s="10">
        <f t="shared" si="28"/>
        <v>0</v>
      </c>
      <c r="AB137" s="10">
        <f t="shared" si="29"/>
        <v>0</v>
      </c>
      <c r="AC137" s="6">
        <f t="shared" si="30"/>
        <v>0</v>
      </c>
    </row>
    <row r="138" spans="1:29" x14ac:dyDescent="0.25">
      <c r="A138" t="s">
        <v>114</v>
      </c>
      <c r="B138" t="s">
        <v>141</v>
      </c>
      <c r="C138" s="1" t="s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 s="1">
        <v>45419</v>
      </c>
      <c r="J138" s="1">
        <v>45419</v>
      </c>
      <c r="K138" s="1">
        <v>45419</v>
      </c>
      <c r="L138" s="1">
        <v>45419</v>
      </c>
      <c r="M138" s="1">
        <v>45419</v>
      </c>
      <c r="N138" s="5"/>
      <c r="S138" s="6"/>
      <c r="T138" s="5">
        <f t="shared" si="21"/>
        <v>0</v>
      </c>
      <c r="U138" s="10">
        <f t="shared" si="22"/>
        <v>0</v>
      </c>
      <c r="V138" s="10">
        <f t="shared" si="23"/>
        <v>0</v>
      </c>
      <c r="W138" s="10">
        <f t="shared" si="24"/>
        <v>0</v>
      </c>
      <c r="X138" s="6">
        <f t="shared" si="25"/>
        <v>0</v>
      </c>
      <c r="Y138" s="5">
        <f t="shared" si="26"/>
        <v>0</v>
      </c>
      <c r="Z138" s="10">
        <f t="shared" si="27"/>
        <v>0</v>
      </c>
      <c r="AA138" s="10">
        <f t="shared" si="28"/>
        <v>0</v>
      </c>
      <c r="AB138" s="10">
        <f t="shared" si="29"/>
        <v>0</v>
      </c>
      <c r="AC138" s="6">
        <f t="shared" si="30"/>
        <v>0</v>
      </c>
    </row>
    <row r="139" spans="1:29" x14ac:dyDescent="0.25">
      <c r="A139" t="s">
        <v>114</v>
      </c>
      <c r="B139" t="s">
        <v>142</v>
      </c>
      <c r="C139" s="1" t="s">
        <v>7</v>
      </c>
      <c r="D139">
        <v>0</v>
      </c>
      <c r="E139">
        <v>37</v>
      </c>
      <c r="F139">
        <v>5</v>
      </c>
      <c r="G139">
        <v>6</v>
      </c>
      <c r="H139">
        <v>27</v>
      </c>
      <c r="I139" s="1">
        <v>45419</v>
      </c>
      <c r="J139" s="1">
        <v>45456</v>
      </c>
      <c r="K139" s="1">
        <v>45424</v>
      </c>
      <c r="L139" s="1">
        <v>45425</v>
      </c>
      <c r="M139" s="1">
        <v>45446</v>
      </c>
      <c r="N139" s="5">
        <v>168.4049247637266</v>
      </c>
      <c r="P139">
        <v>171.28055896482019</v>
      </c>
      <c r="Q139">
        <v>168.74439271216099</v>
      </c>
      <c r="R139">
        <v>168.74439271216099</v>
      </c>
      <c r="S139" s="6">
        <v>176.83215417793139</v>
      </c>
      <c r="T139" s="5">
        <f t="shared" si="21"/>
        <v>0</v>
      </c>
      <c r="U139" s="10">
        <f t="shared" si="22"/>
        <v>1.7075713225893629</v>
      </c>
      <c r="V139" s="10">
        <f t="shared" si="23"/>
        <v>0.20157839737209304</v>
      </c>
      <c r="W139" s="10">
        <f t="shared" si="24"/>
        <v>0.20157839737209304</v>
      </c>
      <c r="X139" s="6">
        <f t="shared" si="25"/>
        <v>5.0041466578416571</v>
      </c>
      <c r="Y139" s="5">
        <f t="shared" si="26"/>
        <v>0</v>
      </c>
      <c r="Z139" s="10">
        <f t="shared" si="27"/>
        <v>17.075713225893629</v>
      </c>
      <c r="AA139" s="10">
        <f t="shared" si="28"/>
        <v>2.0157839737209304</v>
      </c>
      <c r="AB139" s="10">
        <f t="shared" si="29"/>
        <v>2.0157839737209304</v>
      </c>
      <c r="AC139" s="6">
        <f t="shared" si="30"/>
        <v>50.041466578416575</v>
      </c>
    </row>
    <row r="140" spans="1:29" x14ac:dyDescent="0.25">
      <c r="A140" t="s">
        <v>114</v>
      </c>
      <c r="B140" t="s">
        <v>143</v>
      </c>
      <c r="C140" s="1" t="s">
        <v>7</v>
      </c>
      <c r="D140">
        <v>0</v>
      </c>
      <c r="E140">
        <v>35</v>
      </c>
      <c r="F140">
        <v>0</v>
      </c>
      <c r="G140">
        <v>0</v>
      </c>
      <c r="H140">
        <v>0</v>
      </c>
      <c r="I140" s="1">
        <v>45419</v>
      </c>
      <c r="J140" s="1">
        <v>45454</v>
      </c>
      <c r="K140" s="1">
        <v>45419</v>
      </c>
      <c r="L140" s="1">
        <v>45419</v>
      </c>
      <c r="M140" s="1">
        <v>45419</v>
      </c>
      <c r="N140" s="5">
        <v>286.35147701149799</v>
      </c>
      <c r="P140">
        <v>282.45671781871869</v>
      </c>
      <c r="S140" s="6"/>
      <c r="T140" s="5">
        <f t="shared" si="21"/>
        <v>0</v>
      </c>
      <c r="U140" s="10">
        <f t="shared" si="22"/>
        <v>-1.3601323916422214</v>
      </c>
      <c r="V140" s="10">
        <f t="shared" si="23"/>
        <v>0</v>
      </c>
      <c r="W140" s="10">
        <f t="shared" si="24"/>
        <v>0</v>
      </c>
      <c r="X140" s="6">
        <f t="shared" si="25"/>
        <v>0</v>
      </c>
      <c r="Y140" s="5">
        <f t="shared" si="26"/>
        <v>0</v>
      </c>
      <c r="Z140" s="10">
        <f t="shared" si="27"/>
        <v>-13.601323916422214</v>
      </c>
      <c r="AA140" s="10">
        <f t="shared" si="28"/>
        <v>0</v>
      </c>
      <c r="AB140" s="10">
        <f t="shared" si="29"/>
        <v>0</v>
      </c>
      <c r="AC140" s="6">
        <f t="shared" si="30"/>
        <v>0</v>
      </c>
    </row>
    <row r="141" spans="1:29" x14ac:dyDescent="0.25">
      <c r="A141" t="s">
        <v>114</v>
      </c>
      <c r="B141" t="s">
        <v>144</v>
      </c>
      <c r="C141" s="1" t="s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 s="1">
        <v>45419</v>
      </c>
      <c r="J141" s="1">
        <v>45419</v>
      </c>
      <c r="K141" s="1">
        <v>45419</v>
      </c>
      <c r="L141" s="1">
        <v>45419</v>
      </c>
      <c r="M141" s="1">
        <v>45419</v>
      </c>
      <c r="N141" s="5"/>
      <c r="S141" s="6"/>
      <c r="T141" s="5">
        <f t="shared" si="21"/>
        <v>0</v>
      </c>
      <c r="U141" s="10">
        <f t="shared" si="22"/>
        <v>0</v>
      </c>
      <c r="V141" s="10">
        <f t="shared" si="23"/>
        <v>0</v>
      </c>
      <c r="W141" s="10">
        <f t="shared" si="24"/>
        <v>0</v>
      </c>
      <c r="X141" s="6">
        <f t="shared" si="25"/>
        <v>0</v>
      </c>
      <c r="Y141" s="5">
        <f t="shared" si="26"/>
        <v>0</v>
      </c>
      <c r="Z141" s="10">
        <f t="shared" si="27"/>
        <v>0</v>
      </c>
      <c r="AA141" s="10">
        <f t="shared" si="28"/>
        <v>0</v>
      </c>
      <c r="AB141" s="10">
        <f t="shared" si="29"/>
        <v>0</v>
      </c>
      <c r="AC141" s="6">
        <f t="shared" si="30"/>
        <v>0</v>
      </c>
    </row>
    <row r="142" spans="1:29" x14ac:dyDescent="0.25">
      <c r="A142" t="s">
        <v>114</v>
      </c>
      <c r="B142" t="s">
        <v>145</v>
      </c>
      <c r="C142" s="1" t="s">
        <v>7</v>
      </c>
      <c r="D142">
        <v>0</v>
      </c>
      <c r="E142">
        <v>0</v>
      </c>
      <c r="F142">
        <v>0</v>
      </c>
      <c r="G142">
        <v>0</v>
      </c>
      <c r="H142">
        <v>0</v>
      </c>
      <c r="I142" s="1">
        <v>45419</v>
      </c>
      <c r="J142" s="1">
        <v>45419</v>
      </c>
      <c r="K142" s="1">
        <v>45419</v>
      </c>
      <c r="L142" s="1">
        <v>45419</v>
      </c>
      <c r="M142" s="1">
        <v>45419</v>
      </c>
      <c r="N142" s="5"/>
      <c r="S142" s="6"/>
      <c r="T142" s="5">
        <f t="shared" si="21"/>
        <v>0</v>
      </c>
      <c r="U142" s="10">
        <f t="shared" si="22"/>
        <v>0</v>
      </c>
      <c r="V142" s="10">
        <f t="shared" si="23"/>
        <v>0</v>
      </c>
      <c r="W142" s="10">
        <f t="shared" si="24"/>
        <v>0</v>
      </c>
      <c r="X142" s="6">
        <f t="shared" si="25"/>
        <v>0</v>
      </c>
      <c r="Y142" s="5">
        <f t="shared" si="26"/>
        <v>0</v>
      </c>
      <c r="Z142" s="10">
        <f t="shared" si="27"/>
        <v>0</v>
      </c>
      <c r="AA142" s="10">
        <f t="shared" si="28"/>
        <v>0</v>
      </c>
      <c r="AB142" s="10">
        <f t="shared" si="29"/>
        <v>0</v>
      </c>
      <c r="AC142" s="6">
        <f t="shared" si="30"/>
        <v>0</v>
      </c>
    </row>
    <row r="143" spans="1:29" x14ac:dyDescent="0.25">
      <c r="A143" t="s">
        <v>114</v>
      </c>
      <c r="B143" t="s">
        <v>146</v>
      </c>
      <c r="C143" s="1" t="s">
        <v>7</v>
      </c>
      <c r="D143">
        <v>0</v>
      </c>
      <c r="E143">
        <v>0</v>
      </c>
      <c r="F143">
        <v>0</v>
      </c>
      <c r="G143">
        <v>0</v>
      </c>
      <c r="H143">
        <v>0</v>
      </c>
      <c r="I143" s="1">
        <v>45419</v>
      </c>
      <c r="J143" s="1">
        <v>45419</v>
      </c>
      <c r="K143" s="1">
        <v>45419</v>
      </c>
      <c r="L143" s="1">
        <v>45419</v>
      </c>
      <c r="M143" s="1">
        <v>45419</v>
      </c>
      <c r="N143" s="5"/>
      <c r="S143" s="6"/>
      <c r="T143" s="5">
        <f t="shared" si="21"/>
        <v>0</v>
      </c>
      <c r="U143" s="10">
        <f t="shared" si="22"/>
        <v>0</v>
      </c>
      <c r="V143" s="10">
        <f t="shared" si="23"/>
        <v>0</v>
      </c>
      <c r="W143" s="10">
        <f t="shared" si="24"/>
        <v>0</v>
      </c>
      <c r="X143" s="6">
        <f t="shared" si="25"/>
        <v>0</v>
      </c>
      <c r="Y143" s="5">
        <f t="shared" si="26"/>
        <v>0</v>
      </c>
      <c r="Z143" s="10">
        <f t="shared" si="27"/>
        <v>0</v>
      </c>
      <c r="AA143" s="10">
        <f t="shared" si="28"/>
        <v>0</v>
      </c>
      <c r="AB143" s="10">
        <f t="shared" si="29"/>
        <v>0</v>
      </c>
      <c r="AC143" s="6">
        <f t="shared" si="30"/>
        <v>0</v>
      </c>
    </row>
    <row r="144" spans="1:29" x14ac:dyDescent="0.25">
      <c r="A144" t="s">
        <v>114</v>
      </c>
      <c r="B144" t="s">
        <v>147</v>
      </c>
      <c r="C144" s="1" t="s">
        <v>7</v>
      </c>
      <c r="D144">
        <v>0</v>
      </c>
      <c r="E144">
        <v>0</v>
      </c>
      <c r="F144">
        <v>0</v>
      </c>
      <c r="G144">
        <v>0</v>
      </c>
      <c r="H144">
        <v>0</v>
      </c>
      <c r="I144" s="1">
        <v>45419</v>
      </c>
      <c r="J144" s="1">
        <v>45419</v>
      </c>
      <c r="K144" s="1">
        <v>45419</v>
      </c>
      <c r="L144" s="1">
        <v>45419</v>
      </c>
      <c r="M144" s="1">
        <v>45419</v>
      </c>
      <c r="N144" s="5"/>
      <c r="S144" s="6"/>
      <c r="T144" s="5">
        <f t="shared" si="21"/>
        <v>0</v>
      </c>
      <c r="U144" s="10">
        <f t="shared" si="22"/>
        <v>0</v>
      </c>
      <c r="V144" s="10">
        <f t="shared" si="23"/>
        <v>0</v>
      </c>
      <c r="W144" s="10">
        <f t="shared" si="24"/>
        <v>0</v>
      </c>
      <c r="X144" s="6">
        <f t="shared" si="25"/>
        <v>0</v>
      </c>
      <c r="Y144" s="5">
        <f t="shared" si="26"/>
        <v>0</v>
      </c>
      <c r="Z144" s="10">
        <f t="shared" si="27"/>
        <v>0</v>
      </c>
      <c r="AA144" s="10">
        <f t="shared" si="28"/>
        <v>0</v>
      </c>
      <c r="AB144" s="10">
        <f t="shared" si="29"/>
        <v>0</v>
      </c>
      <c r="AC144" s="6">
        <f t="shared" si="30"/>
        <v>0</v>
      </c>
    </row>
    <row r="145" spans="1:29" x14ac:dyDescent="0.25">
      <c r="A145" t="s">
        <v>114</v>
      </c>
      <c r="B145" t="s">
        <v>148</v>
      </c>
      <c r="C145" s="1" t="s">
        <v>7</v>
      </c>
      <c r="D145">
        <v>0</v>
      </c>
      <c r="E145">
        <v>0</v>
      </c>
      <c r="F145">
        <v>0</v>
      </c>
      <c r="G145">
        <v>0</v>
      </c>
      <c r="H145">
        <v>0</v>
      </c>
      <c r="I145" s="1">
        <v>45419</v>
      </c>
      <c r="J145" s="1">
        <v>45419</v>
      </c>
      <c r="K145" s="1">
        <v>45419</v>
      </c>
      <c r="L145" s="1">
        <v>45419</v>
      </c>
      <c r="M145" s="1">
        <v>45419</v>
      </c>
      <c r="N145" s="5"/>
      <c r="S145" s="6"/>
      <c r="T145" s="5">
        <f t="shared" si="21"/>
        <v>0</v>
      </c>
      <c r="U145" s="10">
        <f t="shared" si="22"/>
        <v>0</v>
      </c>
      <c r="V145" s="10">
        <f t="shared" si="23"/>
        <v>0</v>
      </c>
      <c r="W145" s="10">
        <f t="shared" si="24"/>
        <v>0</v>
      </c>
      <c r="X145" s="6">
        <f t="shared" si="25"/>
        <v>0</v>
      </c>
      <c r="Y145" s="5">
        <f t="shared" si="26"/>
        <v>0</v>
      </c>
      <c r="Z145" s="10">
        <f t="shared" si="27"/>
        <v>0</v>
      </c>
      <c r="AA145" s="10">
        <f t="shared" si="28"/>
        <v>0</v>
      </c>
      <c r="AB145" s="10">
        <f t="shared" si="29"/>
        <v>0</v>
      </c>
      <c r="AC145" s="6">
        <f t="shared" si="30"/>
        <v>0</v>
      </c>
    </row>
    <row r="146" spans="1:29" x14ac:dyDescent="0.25">
      <c r="A146" t="s">
        <v>114</v>
      </c>
      <c r="B146" t="s">
        <v>149</v>
      </c>
      <c r="C146" s="1" t="s">
        <v>7</v>
      </c>
      <c r="D146">
        <v>0</v>
      </c>
      <c r="E146">
        <v>0</v>
      </c>
      <c r="F146">
        <v>0</v>
      </c>
      <c r="G146">
        <v>0</v>
      </c>
      <c r="H146">
        <v>0</v>
      </c>
      <c r="I146" s="1">
        <v>45419</v>
      </c>
      <c r="J146" s="1">
        <v>45419</v>
      </c>
      <c r="K146" s="1">
        <v>45419</v>
      </c>
      <c r="L146" s="1">
        <v>45419</v>
      </c>
      <c r="M146" s="1">
        <v>45419</v>
      </c>
      <c r="N146" s="5"/>
      <c r="S146" s="6"/>
      <c r="T146" s="5">
        <f t="shared" si="21"/>
        <v>0</v>
      </c>
      <c r="U146" s="10">
        <f t="shared" si="22"/>
        <v>0</v>
      </c>
      <c r="V146" s="10">
        <f t="shared" si="23"/>
        <v>0</v>
      </c>
      <c r="W146" s="10">
        <f t="shared" si="24"/>
        <v>0</v>
      </c>
      <c r="X146" s="6">
        <f t="shared" si="25"/>
        <v>0</v>
      </c>
      <c r="Y146" s="5">
        <f t="shared" si="26"/>
        <v>0</v>
      </c>
      <c r="Z146" s="10">
        <f t="shared" si="27"/>
        <v>0</v>
      </c>
      <c r="AA146" s="10">
        <f t="shared" si="28"/>
        <v>0</v>
      </c>
      <c r="AB146" s="10">
        <f t="shared" si="29"/>
        <v>0</v>
      </c>
      <c r="AC146" s="6">
        <f t="shared" si="30"/>
        <v>0</v>
      </c>
    </row>
    <row r="147" spans="1:29" x14ac:dyDescent="0.25">
      <c r="A147" t="s">
        <v>114</v>
      </c>
      <c r="B147" t="s">
        <v>150</v>
      </c>
      <c r="C147" s="1" t="s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 s="1">
        <v>45419</v>
      </c>
      <c r="J147" s="1">
        <v>45419</v>
      </c>
      <c r="K147" s="1">
        <v>45419</v>
      </c>
      <c r="L147" s="1">
        <v>45419</v>
      </c>
      <c r="M147" s="1">
        <v>45419</v>
      </c>
      <c r="N147" s="5"/>
      <c r="S147" s="6"/>
      <c r="T147" s="5">
        <f t="shared" si="21"/>
        <v>0</v>
      </c>
      <c r="U147" s="10">
        <f t="shared" si="22"/>
        <v>0</v>
      </c>
      <c r="V147" s="10">
        <f t="shared" si="23"/>
        <v>0</v>
      </c>
      <c r="W147" s="10">
        <f t="shared" si="24"/>
        <v>0</v>
      </c>
      <c r="X147" s="6">
        <f t="shared" si="25"/>
        <v>0</v>
      </c>
      <c r="Y147" s="5">
        <f t="shared" si="26"/>
        <v>0</v>
      </c>
      <c r="Z147" s="10">
        <f t="shared" si="27"/>
        <v>0</v>
      </c>
      <c r="AA147" s="10">
        <f t="shared" si="28"/>
        <v>0</v>
      </c>
      <c r="AB147" s="10">
        <f t="shared" si="29"/>
        <v>0</v>
      </c>
      <c r="AC147" s="6">
        <f t="shared" si="30"/>
        <v>0</v>
      </c>
    </row>
    <row r="148" spans="1:29" x14ac:dyDescent="0.25">
      <c r="A148" t="s">
        <v>114</v>
      </c>
      <c r="B148" t="s">
        <v>151</v>
      </c>
      <c r="C148" s="1" t="s">
        <v>7</v>
      </c>
      <c r="D148">
        <v>0</v>
      </c>
      <c r="E148">
        <v>0</v>
      </c>
      <c r="F148">
        <v>0</v>
      </c>
      <c r="G148">
        <v>0</v>
      </c>
      <c r="H148">
        <v>0</v>
      </c>
      <c r="I148" s="1">
        <v>45419</v>
      </c>
      <c r="J148" s="1">
        <v>45419</v>
      </c>
      <c r="K148" s="1">
        <v>45419</v>
      </c>
      <c r="L148" s="1">
        <v>45419</v>
      </c>
      <c r="M148" s="1">
        <v>45419</v>
      </c>
      <c r="N148" s="5"/>
      <c r="S148" s="6"/>
      <c r="T148" s="5">
        <f t="shared" si="21"/>
        <v>0</v>
      </c>
      <c r="U148" s="10">
        <f t="shared" si="22"/>
        <v>0</v>
      </c>
      <c r="V148" s="10">
        <f t="shared" si="23"/>
        <v>0</v>
      </c>
      <c r="W148" s="10">
        <f t="shared" si="24"/>
        <v>0</v>
      </c>
      <c r="X148" s="6">
        <f t="shared" si="25"/>
        <v>0</v>
      </c>
      <c r="Y148" s="5">
        <f t="shared" si="26"/>
        <v>0</v>
      </c>
      <c r="Z148" s="10">
        <f t="shared" si="27"/>
        <v>0</v>
      </c>
      <c r="AA148" s="10">
        <f t="shared" si="28"/>
        <v>0</v>
      </c>
      <c r="AB148" s="10">
        <f t="shared" si="29"/>
        <v>0</v>
      </c>
      <c r="AC148" s="6">
        <f t="shared" si="30"/>
        <v>0</v>
      </c>
    </row>
    <row r="149" spans="1:29" x14ac:dyDescent="0.25">
      <c r="A149" t="s">
        <v>114</v>
      </c>
      <c r="B149" t="s">
        <v>152</v>
      </c>
      <c r="C149" s="1" t="s">
        <v>7</v>
      </c>
      <c r="D149">
        <v>0</v>
      </c>
      <c r="E149">
        <v>0</v>
      </c>
      <c r="F149">
        <v>0</v>
      </c>
      <c r="G149">
        <v>0</v>
      </c>
      <c r="H149">
        <v>0</v>
      </c>
      <c r="I149" s="1">
        <v>45419</v>
      </c>
      <c r="J149" s="1">
        <v>45419</v>
      </c>
      <c r="K149" s="1">
        <v>45419</v>
      </c>
      <c r="L149" s="1">
        <v>45419</v>
      </c>
      <c r="M149" s="1">
        <v>45419</v>
      </c>
      <c r="N149" s="5"/>
      <c r="S149" s="6"/>
      <c r="T149" s="5">
        <f t="shared" si="21"/>
        <v>0</v>
      </c>
      <c r="U149" s="10">
        <f t="shared" si="22"/>
        <v>0</v>
      </c>
      <c r="V149" s="10">
        <f t="shared" si="23"/>
        <v>0</v>
      </c>
      <c r="W149" s="10">
        <f t="shared" si="24"/>
        <v>0</v>
      </c>
      <c r="X149" s="6">
        <f t="shared" si="25"/>
        <v>0</v>
      </c>
      <c r="Y149" s="5">
        <f t="shared" si="26"/>
        <v>0</v>
      </c>
      <c r="Z149" s="10">
        <f t="shared" si="27"/>
        <v>0</v>
      </c>
      <c r="AA149" s="10">
        <f t="shared" si="28"/>
        <v>0</v>
      </c>
      <c r="AB149" s="10">
        <f t="shared" si="29"/>
        <v>0</v>
      </c>
      <c r="AC149" s="6">
        <f t="shared" si="30"/>
        <v>0</v>
      </c>
    </row>
    <row r="150" spans="1:29" x14ac:dyDescent="0.25">
      <c r="A150" t="s">
        <v>114</v>
      </c>
      <c r="B150" t="s">
        <v>153</v>
      </c>
      <c r="C150" s="1" t="s">
        <v>7</v>
      </c>
      <c r="D150">
        <v>0</v>
      </c>
      <c r="E150">
        <v>0</v>
      </c>
      <c r="F150">
        <v>0</v>
      </c>
      <c r="G150">
        <v>0</v>
      </c>
      <c r="H150">
        <v>0</v>
      </c>
      <c r="I150" s="1">
        <v>45419</v>
      </c>
      <c r="J150" s="1">
        <v>45419</v>
      </c>
      <c r="K150" s="1">
        <v>45419</v>
      </c>
      <c r="L150" s="1">
        <v>45419</v>
      </c>
      <c r="M150" s="1">
        <v>45419</v>
      </c>
      <c r="N150" s="5"/>
      <c r="S150" s="6"/>
      <c r="T150" s="5">
        <f t="shared" si="21"/>
        <v>0</v>
      </c>
      <c r="U150" s="10">
        <f t="shared" si="22"/>
        <v>0</v>
      </c>
      <c r="V150" s="10">
        <f t="shared" si="23"/>
        <v>0</v>
      </c>
      <c r="W150" s="10">
        <f t="shared" si="24"/>
        <v>0</v>
      </c>
      <c r="X150" s="6">
        <f t="shared" si="25"/>
        <v>0</v>
      </c>
      <c r="Y150" s="5">
        <f t="shared" si="26"/>
        <v>0</v>
      </c>
      <c r="Z150" s="10">
        <f t="shared" si="27"/>
        <v>0</v>
      </c>
      <c r="AA150" s="10">
        <f t="shared" si="28"/>
        <v>0</v>
      </c>
      <c r="AB150" s="10">
        <f t="shared" si="29"/>
        <v>0</v>
      </c>
      <c r="AC150" s="6">
        <f t="shared" si="30"/>
        <v>0</v>
      </c>
    </row>
    <row r="151" spans="1:29" x14ac:dyDescent="0.25">
      <c r="A151" t="s">
        <v>114</v>
      </c>
      <c r="B151" t="s">
        <v>154</v>
      </c>
      <c r="C151" s="1" t="s">
        <v>7</v>
      </c>
      <c r="D151">
        <v>0</v>
      </c>
      <c r="E151">
        <v>0</v>
      </c>
      <c r="F151">
        <v>0</v>
      </c>
      <c r="G151">
        <v>0</v>
      </c>
      <c r="H151">
        <v>0</v>
      </c>
      <c r="I151" s="1">
        <v>45419</v>
      </c>
      <c r="J151" s="1">
        <v>45419</v>
      </c>
      <c r="K151" s="1">
        <v>45419</v>
      </c>
      <c r="L151" s="1">
        <v>45419</v>
      </c>
      <c r="M151" s="1">
        <v>45419</v>
      </c>
      <c r="N151" s="5"/>
      <c r="S151" s="6"/>
      <c r="T151" s="5">
        <f t="shared" si="21"/>
        <v>0</v>
      </c>
      <c r="U151" s="10">
        <f t="shared" si="22"/>
        <v>0</v>
      </c>
      <c r="V151" s="10">
        <f t="shared" si="23"/>
        <v>0</v>
      </c>
      <c r="W151" s="10">
        <f t="shared" si="24"/>
        <v>0</v>
      </c>
      <c r="X151" s="6">
        <f t="shared" si="25"/>
        <v>0</v>
      </c>
      <c r="Y151" s="5">
        <f t="shared" si="26"/>
        <v>0</v>
      </c>
      <c r="Z151" s="10">
        <f t="shared" si="27"/>
        <v>0</v>
      </c>
      <c r="AA151" s="10">
        <f t="shared" si="28"/>
        <v>0</v>
      </c>
      <c r="AB151" s="10">
        <f t="shared" si="29"/>
        <v>0</v>
      </c>
      <c r="AC151" s="6">
        <f t="shared" si="30"/>
        <v>0</v>
      </c>
    </row>
    <row r="152" spans="1:29" x14ac:dyDescent="0.25">
      <c r="A152" t="s">
        <v>114</v>
      </c>
      <c r="B152" t="s">
        <v>79</v>
      </c>
      <c r="C152" s="1" t="s">
        <v>7</v>
      </c>
      <c r="D152">
        <v>0</v>
      </c>
      <c r="E152">
        <v>0</v>
      </c>
      <c r="F152">
        <v>38</v>
      </c>
      <c r="G152">
        <v>0</v>
      </c>
      <c r="H152">
        <v>38</v>
      </c>
      <c r="I152" s="1">
        <v>45419</v>
      </c>
      <c r="J152" s="1">
        <v>45419</v>
      </c>
      <c r="K152" s="1">
        <v>45457</v>
      </c>
      <c r="L152" s="1">
        <v>45419</v>
      </c>
      <c r="M152" s="1">
        <v>45457</v>
      </c>
      <c r="N152" s="5">
        <v>350.98001098632813</v>
      </c>
      <c r="Q152">
        <v>306.8800048828125</v>
      </c>
      <c r="S152" s="6">
        <v>306.8800048828125</v>
      </c>
      <c r="T152" s="5">
        <f t="shared" si="21"/>
        <v>0</v>
      </c>
      <c r="U152" s="10">
        <f t="shared" si="22"/>
        <v>0</v>
      </c>
      <c r="V152" s="10">
        <f t="shared" si="23"/>
        <v>-12.564819853867249</v>
      </c>
      <c r="W152" s="10">
        <f t="shared" si="24"/>
        <v>0</v>
      </c>
      <c r="X152" s="6">
        <f t="shared" si="25"/>
        <v>-12.564819853867249</v>
      </c>
      <c r="Y152" s="5">
        <f t="shared" si="26"/>
        <v>0</v>
      </c>
      <c r="Z152" s="10">
        <f t="shared" si="27"/>
        <v>0</v>
      </c>
      <c r="AA152" s="10">
        <f t="shared" si="28"/>
        <v>-125.64819853867249</v>
      </c>
      <c r="AB152" s="10">
        <f t="shared" si="29"/>
        <v>0</v>
      </c>
      <c r="AC152" s="6">
        <f t="shared" si="30"/>
        <v>-125.64819853867249</v>
      </c>
    </row>
    <row r="153" spans="1:29" x14ac:dyDescent="0.25">
      <c r="A153" t="s">
        <v>114</v>
      </c>
      <c r="B153" t="s">
        <v>155</v>
      </c>
      <c r="C153" s="1" t="s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 s="1">
        <v>45419</v>
      </c>
      <c r="J153" s="1">
        <v>45419</v>
      </c>
      <c r="K153" s="1">
        <v>45419</v>
      </c>
      <c r="L153" s="1">
        <v>45419</v>
      </c>
      <c r="M153" s="1">
        <v>45419</v>
      </c>
      <c r="N153" s="5"/>
      <c r="S153" s="6"/>
      <c r="T153" s="5">
        <f t="shared" si="21"/>
        <v>0</v>
      </c>
      <c r="U153" s="10">
        <f t="shared" si="22"/>
        <v>0</v>
      </c>
      <c r="V153" s="10">
        <f t="shared" si="23"/>
        <v>0</v>
      </c>
      <c r="W153" s="10">
        <f t="shared" si="24"/>
        <v>0</v>
      </c>
      <c r="X153" s="6">
        <f t="shared" si="25"/>
        <v>0</v>
      </c>
      <c r="Y153" s="5">
        <f t="shared" si="26"/>
        <v>0</v>
      </c>
      <c r="Z153" s="10">
        <f t="shared" si="27"/>
        <v>0</v>
      </c>
      <c r="AA153" s="10">
        <f t="shared" si="28"/>
        <v>0</v>
      </c>
      <c r="AB153" s="10">
        <f t="shared" si="29"/>
        <v>0</v>
      </c>
      <c r="AC153" s="6">
        <f t="shared" si="30"/>
        <v>0</v>
      </c>
    </row>
    <row r="154" spans="1:29" x14ac:dyDescent="0.25">
      <c r="A154" t="s">
        <v>114</v>
      </c>
      <c r="B154" t="s">
        <v>156</v>
      </c>
      <c r="C154" s="1" t="s">
        <v>7</v>
      </c>
      <c r="D154">
        <v>0</v>
      </c>
      <c r="E154">
        <v>0</v>
      </c>
      <c r="F154">
        <v>0</v>
      </c>
      <c r="G154">
        <v>0</v>
      </c>
      <c r="H154">
        <v>0</v>
      </c>
      <c r="I154" s="1">
        <v>45419</v>
      </c>
      <c r="J154" s="1">
        <v>45419</v>
      </c>
      <c r="K154" s="1">
        <v>45419</v>
      </c>
      <c r="L154" s="1">
        <v>45419</v>
      </c>
      <c r="M154" s="1">
        <v>45419</v>
      </c>
      <c r="N154" s="5"/>
      <c r="S154" s="6"/>
      <c r="T154" s="5">
        <f t="shared" si="21"/>
        <v>0</v>
      </c>
      <c r="U154" s="10">
        <f t="shared" si="22"/>
        <v>0</v>
      </c>
      <c r="V154" s="10">
        <f t="shared" si="23"/>
        <v>0</v>
      </c>
      <c r="W154" s="10">
        <f t="shared" si="24"/>
        <v>0</v>
      </c>
      <c r="X154" s="6">
        <f t="shared" si="25"/>
        <v>0</v>
      </c>
      <c r="Y154" s="5">
        <f t="shared" si="26"/>
        <v>0</v>
      </c>
      <c r="Z154" s="10">
        <f t="shared" si="27"/>
        <v>0</v>
      </c>
      <c r="AA154" s="10">
        <f t="shared" si="28"/>
        <v>0</v>
      </c>
      <c r="AB154" s="10">
        <f t="shared" si="29"/>
        <v>0</v>
      </c>
      <c r="AC154" s="6">
        <f t="shared" si="30"/>
        <v>0</v>
      </c>
    </row>
    <row r="155" spans="1:29" x14ac:dyDescent="0.25">
      <c r="A155" t="s">
        <v>114</v>
      </c>
      <c r="B155" t="s">
        <v>157</v>
      </c>
      <c r="C155" s="1" t="s">
        <v>7</v>
      </c>
      <c r="D155">
        <v>0</v>
      </c>
      <c r="E155">
        <v>0</v>
      </c>
      <c r="F155">
        <v>0</v>
      </c>
      <c r="G155">
        <v>0</v>
      </c>
      <c r="H155">
        <v>0</v>
      </c>
      <c r="I155" s="1">
        <v>45419</v>
      </c>
      <c r="J155" s="1">
        <v>45419</v>
      </c>
      <c r="K155" s="1">
        <v>45419</v>
      </c>
      <c r="L155" s="1">
        <v>45419</v>
      </c>
      <c r="M155" s="1">
        <v>45419</v>
      </c>
      <c r="N155" s="5"/>
      <c r="S155" s="6"/>
      <c r="T155" s="5">
        <f t="shared" si="21"/>
        <v>0</v>
      </c>
      <c r="U155" s="10">
        <f t="shared" si="22"/>
        <v>0</v>
      </c>
      <c r="V155" s="10">
        <f t="shared" si="23"/>
        <v>0</v>
      </c>
      <c r="W155" s="10">
        <f t="shared" si="24"/>
        <v>0</v>
      </c>
      <c r="X155" s="6">
        <f t="shared" si="25"/>
        <v>0</v>
      </c>
      <c r="Y155" s="5">
        <f t="shared" si="26"/>
        <v>0</v>
      </c>
      <c r="Z155" s="10">
        <f t="shared" si="27"/>
        <v>0</v>
      </c>
      <c r="AA155" s="10">
        <f t="shared" si="28"/>
        <v>0</v>
      </c>
      <c r="AB155" s="10">
        <f t="shared" si="29"/>
        <v>0</v>
      </c>
      <c r="AC155" s="6">
        <f t="shared" si="30"/>
        <v>0</v>
      </c>
    </row>
    <row r="156" spans="1:29" x14ac:dyDescent="0.25">
      <c r="A156" t="s">
        <v>114</v>
      </c>
      <c r="B156" t="s">
        <v>158</v>
      </c>
      <c r="C156" s="1" t="s">
        <v>7</v>
      </c>
      <c r="D156">
        <v>0</v>
      </c>
      <c r="E156">
        <v>0</v>
      </c>
      <c r="F156">
        <v>0</v>
      </c>
      <c r="G156">
        <v>0</v>
      </c>
      <c r="H156">
        <v>0</v>
      </c>
      <c r="I156" s="1">
        <v>45419</v>
      </c>
      <c r="J156" s="1">
        <v>45419</v>
      </c>
      <c r="K156" s="1">
        <v>45419</v>
      </c>
      <c r="L156" s="1">
        <v>45419</v>
      </c>
      <c r="M156" s="1">
        <v>45419</v>
      </c>
      <c r="N156" s="5"/>
      <c r="S156" s="6"/>
      <c r="T156" s="5">
        <f t="shared" si="21"/>
        <v>0</v>
      </c>
      <c r="U156" s="10">
        <f t="shared" si="22"/>
        <v>0</v>
      </c>
      <c r="V156" s="10">
        <f t="shared" si="23"/>
        <v>0</v>
      </c>
      <c r="W156" s="10">
        <f t="shared" si="24"/>
        <v>0</v>
      </c>
      <c r="X156" s="6">
        <f t="shared" si="25"/>
        <v>0</v>
      </c>
      <c r="Y156" s="5">
        <f t="shared" si="26"/>
        <v>0</v>
      </c>
      <c r="Z156" s="10">
        <f t="shared" si="27"/>
        <v>0</v>
      </c>
      <c r="AA156" s="10">
        <f t="shared" si="28"/>
        <v>0</v>
      </c>
      <c r="AB156" s="10">
        <f t="shared" si="29"/>
        <v>0</v>
      </c>
      <c r="AC156" s="6">
        <f t="shared" si="30"/>
        <v>0</v>
      </c>
    </row>
    <row r="157" spans="1:29" x14ac:dyDescent="0.25">
      <c r="A157" t="s">
        <v>114</v>
      </c>
      <c r="B157" t="s">
        <v>118</v>
      </c>
      <c r="C157" s="1" t="s">
        <v>7</v>
      </c>
      <c r="D157">
        <v>0</v>
      </c>
      <c r="E157">
        <v>37</v>
      </c>
      <c r="F157">
        <v>0</v>
      </c>
      <c r="G157">
        <v>0</v>
      </c>
      <c r="H157">
        <v>0</v>
      </c>
      <c r="I157" s="1">
        <v>45419</v>
      </c>
      <c r="J157" s="1">
        <v>45456</v>
      </c>
      <c r="K157" s="1">
        <v>45419</v>
      </c>
      <c r="L157" s="1">
        <v>45419</v>
      </c>
      <c r="M157" s="1">
        <v>45419</v>
      </c>
      <c r="N157" s="5">
        <v>104.42656265361261</v>
      </c>
      <c r="P157">
        <v>103.82856589948111</v>
      </c>
      <c r="S157" s="6"/>
      <c r="T157" s="5">
        <f t="shared" si="21"/>
        <v>0</v>
      </c>
      <c r="U157" s="10">
        <f t="shared" si="22"/>
        <v>-0.57264812604728155</v>
      </c>
      <c r="V157" s="10">
        <f t="shared" si="23"/>
        <v>0</v>
      </c>
      <c r="W157" s="10">
        <f t="shared" si="24"/>
        <v>0</v>
      </c>
      <c r="X157" s="6">
        <f t="shared" si="25"/>
        <v>0</v>
      </c>
      <c r="Y157" s="5">
        <f t="shared" si="26"/>
        <v>0</v>
      </c>
      <c r="Z157" s="10">
        <f t="shared" si="27"/>
        <v>-5.7264812604728146</v>
      </c>
      <c r="AA157" s="10">
        <f t="shared" si="28"/>
        <v>0</v>
      </c>
      <c r="AB157" s="10">
        <f t="shared" si="29"/>
        <v>0</v>
      </c>
      <c r="AC157" s="6">
        <f t="shared" si="30"/>
        <v>0</v>
      </c>
    </row>
    <row r="158" spans="1:29" x14ac:dyDescent="0.25">
      <c r="A158" t="s">
        <v>114</v>
      </c>
      <c r="B158" t="s">
        <v>159</v>
      </c>
      <c r="C158" s="1" t="s">
        <v>7</v>
      </c>
      <c r="D158">
        <v>0</v>
      </c>
      <c r="E158">
        <v>0</v>
      </c>
      <c r="F158">
        <v>0</v>
      </c>
      <c r="G158">
        <v>0</v>
      </c>
      <c r="H158">
        <v>0</v>
      </c>
      <c r="I158" s="1">
        <v>45419</v>
      </c>
      <c r="J158" s="1">
        <v>45419</v>
      </c>
      <c r="K158" s="1">
        <v>45419</v>
      </c>
      <c r="L158" s="1">
        <v>45419</v>
      </c>
      <c r="M158" s="1">
        <v>45419</v>
      </c>
      <c r="N158" s="5"/>
      <c r="S158" s="6"/>
      <c r="T158" s="5">
        <f t="shared" si="21"/>
        <v>0</v>
      </c>
      <c r="U158" s="10">
        <f t="shared" si="22"/>
        <v>0</v>
      </c>
      <c r="V158" s="10">
        <f t="shared" si="23"/>
        <v>0</v>
      </c>
      <c r="W158" s="10">
        <f t="shared" si="24"/>
        <v>0</v>
      </c>
      <c r="X158" s="6">
        <f t="shared" si="25"/>
        <v>0</v>
      </c>
      <c r="Y158" s="5">
        <f t="shared" si="26"/>
        <v>0</v>
      </c>
      <c r="Z158" s="10">
        <f t="shared" si="27"/>
        <v>0</v>
      </c>
      <c r="AA158" s="10">
        <f t="shared" si="28"/>
        <v>0</v>
      </c>
      <c r="AB158" s="10">
        <f t="shared" si="29"/>
        <v>0</v>
      </c>
      <c r="AC158" s="6">
        <f t="shared" si="30"/>
        <v>0</v>
      </c>
    </row>
    <row r="159" spans="1:29" x14ac:dyDescent="0.25">
      <c r="A159" t="s">
        <v>114</v>
      </c>
      <c r="B159" t="s">
        <v>160</v>
      </c>
      <c r="C159" s="1" t="s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 s="1">
        <v>45419</v>
      </c>
      <c r="J159" s="1">
        <v>45419</v>
      </c>
      <c r="K159" s="1">
        <v>45419</v>
      </c>
      <c r="L159" s="1">
        <v>45419</v>
      </c>
      <c r="M159" s="1">
        <v>45419</v>
      </c>
      <c r="N159" s="5"/>
      <c r="S159" s="6"/>
      <c r="T159" s="5">
        <f t="shared" si="21"/>
        <v>0</v>
      </c>
      <c r="U159" s="10">
        <f t="shared" si="22"/>
        <v>0</v>
      </c>
      <c r="V159" s="10">
        <f t="shared" si="23"/>
        <v>0</v>
      </c>
      <c r="W159" s="10">
        <f t="shared" si="24"/>
        <v>0</v>
      </c>
      <c r="X159" s="6">
        <f t="shared" si="25"/>
        <v>0</v>
      </c>
      <c r="Y159" s="5">
        <f t="shared" si="26"/>
        <v>0</v>
      </c>
      <c r="Z159" s="10">
        <f t="shared" si="27"/>
        <v>0</v>
      </c>
      <c r="AA159" s="10">
        <f t="shared" si="28"/>
        <v>0</v>
      </c>
      <c r="AB159" s="10">
        <f t="shared" si="29"/>
        <v>0</v>
      </c>
      <c r="AC159" s="6">
        <f t="shared" si="30"/>
        <v>0</v>
      </c>
    </row>
    <row r="160" spans="1:29" x14ac:dyDescent="0.25">
      <c r="A160" t="s">
        <v>114</v>
      </c>
      <c r="B160" t="s">
        <v>161</v>
      </c>
      <c r="C160" s="1" t="s">
        <v>7</v>
      </c>
      <c r="D160">
        <v>0</v>
      </c>
      <c r="E160">
        <v>0</v>
      </c>
      <c r="F160">
        <v>0</v>
      </c>
      <c r="G160">
        <v>0</v>
      </c>
      <c r="H160">
        <v>0</v>
      </c>
      <c r="I160" s="1">
        <v>45419</v>
      </c>
      <c r="J160" s="1">
        <v>45419</v>
      </c>
      <c r="K160" s="1">
        <v>45419</v>
      </c>
      <c r="L160" s="1">
        <v>45419</v>
      </c>
      <c r="M160" s="1">
        <v>45419</v>
      </c>
      <c r="N160" s="5"/>
      <c r="S160" s="6"/>
      <c r="T160" s="5">
        <f t="shared" si="21"/>
        <v>0</v>
      </c>
      <c r="U160" s="10">
        <f t="shared" si="22"/>
        <v>0</v>
      </c>
      <c r="V160" s="10">
        <f t="shared" si="23"/>
        <v>0</v>
      </c>
      <c r="W160" s="10">
        <f t="shared" si="24"/>
        <v>0</v>
      </c>
      <c r="X160" s="6">
        <f t="shared" si="25"/>
        <v>0</v>
      </c>
      <c r="Y160" s="5">
        <f t="shared" si="26"/>
        <v>0</v>
      </c>
      <c r="Z160" s="10">
        <f t="shared" si="27"/>
        <v>0</v>
      </c>
      <c r="AA160" s="10">
        <f t="shared" si="28"/>
        <v>0</v>
      </c>
      <c r="AB160" s="10">
        <f t="shared" si="29"/>
        <v>0</v>
      </c>
      <c r="AC160" s="6">
        <f t="shared" si="30"/>
        <v>0</v>
      </c>
    </row>
    <row r="161" spans="1:29" x14ac:dyDescent="0.25">
      <c r="A161" t="s">
        <v>114</v>
      </c>
      <c r="B161" t="s">
        <v>115</v>
      </c>
      <c r="C161" s="1" t="s">
        <v>7</v>
      </c>
      <c r="D161">
        <v>0</v>
      </c>
      <c r="E161">
        <v>0</v>
      </c>
      <c r="F161">
        <v>0</v>
      </c>
      <c r="G161">
        <v>0</v>
      </c>
      <c r="H161">
        <v>0</v>
      </c>
      <c r="I161" s="1">
        <v>45419</v>
      </c>
      <c r="J161" s="1">
        <v>45419</v>
      </c>
      <c r="K161" s="1">
        <v>45419</v>
      </c>
      <c r="L161" s="1">
        <v>45419</v>
      </c>
      <c r="M161" s="1">
        <v>45419</v>
      </c>
      <c r="N161" s="5"/>
      <c r="S161" s="6"/>
      <c r="T161" s="5">
        <f t="shared" si="21"/>
        <v>0</v>
      </c>
      <c r="U161" s="10">
        <f t="shared" si="22"/>
        <v>0</v>
      </c>
      <c r="V161" s="10">
        <f t="shared" si="23"/>
        <v>0</v>
      </c>
      <c r="W161" s="10">
        <f t="shared" si="24"/>
        <v>0</v>
      </c>
      <c r="X161" s="6">
        <f t="shared" si="25"/>
        <v>0</v>
      </c>
      <c r="Y161" s="5">
        <f t="shared" si="26"/>
        <v>0</v>
      </c>
      <c r="Z161" s="10">
        <f t="shared" si="27"/>
        <v>0</v>
      </c>
      <c r="AA161" s="10">
        <f t="shared" si="28"/>
        <v>0</v>
      </c>
      <c r="AB161" s="10">
        <f t="shared" si="29"/>
        <v>0</v>
      </c>
      <c r="AC161" s="6">
        <f t="shared" si="30"/>
        <v>0</v>
      </c>
    </row>
    <row r="162" spans="1:29" x14ac:dyDescent="0.25">
      <c r="A162" t="s">
        <v>114</v>
      </c>
      <c r="B162" t="s">
        <v>84</v>
      </c>
      <c r="C162" s="1" t="s">
        <v>7</v>
      </c>
      <c r="D162">
        <v>0</v>
      </c>
      <c r="E162">
        <v>0</v>
      </c>
      <c r="F162">
        <v>0</v>
      </c>
      <c r="G162">
        <v>0</v>
      </c>
      <c r="H162">
        <v>0</v>
      </c>
      <c r="I162" s="1">
        <v>45419</v>
      </c>
      <c r="J162" s="1">
        <v>45419</v>
      </c>
      <c r="K162" s="1">
        <v>45419</v>
      </c>
      <c r="L162" s="1">
        <v>45419</v>
      </c>
      <c r="M162" s="1">
        <v>45419</v>
      </c>
      <c r="N162" s="5"/>
      <c r="S162" s="6"/>
      <c r="T162" s="5">
        <f t="shared" si="21"/>
        <v>0</v>
      </c>
      <c r="U162" s="10">
        <f t="shared" si="22"/>
        <v>0</v>
      </c>
      <c r="V162" s="10">
        <f t="shared" si="23"/>
        <v>0</v>
      </c>
      <c r="W162" s="10">
        <f t="shared" si="24"/>
        <v>0</v>
      </c>
      <c r="X162" s="6">
        <f t="shared" si="25"/>
        <v>0</v>
      </c>
      <c r="Y162" s="5">
        <f t="shared" si="26"/>
        <v>0</v>
      </c>
      <c r="Z162" s="10">
        <f t="shared" si="27"/>
        <v>0</v>
      </c>
      <c r="AA162" s="10">
        <f t="shared" si="28"/>
        <v>0</v>
      </c>
      <c r="AB162" s="10">
        <f t="shared" si="29"/>
        <v>0</v>
      </c>
      <c r="AC162" s="6">
        <f t="shared" si="30"/>
        <v>0</v>
      </c>
    </row>
    <row r="163" spans="1:29" x14ac:dyDescent="0.25">
      <c r="A163" t="s">
        <v>114</v>
      </c>
      <c r="B163" t="s">
        <v>162</v>
      </c>
      <c r="C163" s="1" t="s">
        <v>7</v>
      </c>
      <c r="D163">
        <v>0</v>
      </c>
      <c r="E163">
        <v>0</v>
      </c>
      <c r="F163">
        <v>0</v>
      </c>
      <c r="G163">
        <v>0</v>
      </c>
      <c r="H163">
        <v>0</v>
      </c>
      <c r="I163" s="1">
        <v>45419</v>
      </c>
      <c r="J163" s="1">
        <v>45419</v>
      </c>
      <c r="K163" s="1">
        <v>45419</v>
      </c>
      <c r="L163" s="1">
        <v>45419</v>
      </c>
      <c r="M163" s="1">
        <v>45419</v>
      </c>
      <c r="N163" s="5"/>
      <c r="S163" s="6"/>
      <c r="T163" s="5">
        <f t="shared" si="21"/>
        <v>0</v>
      </c>
      <c r="U163" s="10">
        <f t="shared" si="22"/>
        <v>0</v>
      </c>
      <c r="V163" s="10">
        <f t="shared" si="23"/>
        <v>0</v>
      </c>
      <c r="W163" s="10">
        <f t="shared" si="24"/>
        <v>0</v>
      </c>
      <c r="X163" s="6">
        <f t="shared" si="25"/>
        <v>0</v>
      </c>
      <c r="Y163" s="5">
        <f t="shared" si="26"/>
        <v>0</v>
      </c>
      <c r="Z163" s="10">
        <f t="shared" si="27"/>
        <v>0</v>
      </c>
      <c r="AA163" s="10">
        <f t="shared" si="28"/>
        <v>0</v>
      </c>
      <c r="AB163" s="10">
        <f t="shared" si="29"/>
        <v>0</v>
      </c>
      <c r="AC163" s="6">
        <f t="shared" si="30"/>
        <v>0</v>
      </c>
    </row>
    <row r="164" spans="1:29" x14ac:dyDescent="0.25">
      <c r="A164" t="s">
        <v>114</v>
      </c>
      <c r="B164" t="s">
        <v>143</v>
      </c>
      <c r="C164" s="1" t="s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 s="1">
        <v>45419</v>
      </c>
      <c r="J164" s="1">
        <v>45419</v>
      </c>
      <c r="K164" s="1">
        <v>45419</v>
      </c>
      <c r="L164" s="1">
        <v>45419</v>
      </c>
      <c r="M164" s="1">
        <v>45419</v>
      </c>
      <c r="N164" s="5"/>
      <c r="S164" s="6"/>
      <c r="T164" s="5">
        <f t="shared" si="21"/>
        <v>0</v>
      </c>
      <c r="U164" s="10">
        <f t="shared" si="22"/>
        <v>0</v>
      </c>
      <c r="V164" s="10">
        <f t="shared" si="23"/>
        <v>0</v>
      </c>
      <c r="W164" s="10">
        <f t="shared" si="24"/>
        <v>0</v>
      </c>
      <c r="X164" s="6">
        <f t="shared" si="25"/>
        <v>0</v>
      </c>
      <c r="Y164" s="5">
        <f t="shared" si="26"/>
        <v>0</v>
      </c>
      <c r="Z164" s="10">
        <f t="shared" si="27"/>
        <v>0</v>
      </c>
      <c r="AA164" s="10">
        <f t="shared" si="28"/>
        <v>0</v>
      </c>
      <c r="AB164" s="10">
        <f t="shared" si="29"/>
        <v>0</v>
      </c>
      <c r="AC164" s="6">
        <f t="shared" si="30"/>
        <v>0</v>
      </c>
    </row>
    <row r="165" spans="1:29" x14ac:dyDescent="0.25">
      <c r="A165" t="s">
        <v>114</v>
      </c>
      <c r="B165" t="s">
        <v>126</v>
      </c>
      <c r="C165" s="1" t="s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 s="1">
        <v>45419</v>
      </c>
      <c r="J165" s="1">
        <v>45419</v>
      </c>
      <c r="K165" s="1">
        <v>45419</v>
      </c>
      <c r="L165" s="1">
        <v>45419</v>
      </c>
      <c r="M165" s="1">
        <v>45419</v>
      </c>
      <c r="N165" s="5"/>
      <c r="S165" s="6"/>
      <c r="T165" s="5">
        <f t="shared" si="21"/>
        <v>0</v>
      </c>
      <c r="U165" s="10">
        <f t="shared" si="22"/>
        <v>0</v>
      </c>
      <c r="V165" s="10">
        <f t="shared" si="23"/>
        <v>0</v>
      </c>
      <c r="W165" s="10">
        <f t="shared" si="24"/>
        <v>0</v>
      </c>
      <c r="X165" s="6">
        <f t="shared" si="25"/>
        <v>0</v>
      </c>
      <c r="Y165" s="5">
        <f t="shared" si="26"/>
        <v>0</v>
      </c>
      <c r="Z165" s="10">
        <f t="shared" si="27"/>
        <v>0</v>
      </c>
      <c r="AA165" s="10">
        <f t="shared" si="28"/>
        <v>0</v>
      </c>
      <c r="AB165" s="10">
        <f t="shared" si="29"/>
        <v>0</v>
      </c>
      <c r="AC165" s="6">
        <f t="shared" si="30"/>
        <v>0</v>
      </c>
    </row>
    <row r="166" spans="1:29" x14ac:dyDescent="0.25">
      <c r="A166" t="s">
        <v>114</v>
      </c>
      <c r="B166" t="s">
        <v>131</v>
      </c>
      <c r="C166" s="1" t="s">
        <v>7</v>
      </c>
      <c r="D166">
        <v>0</v>
      </c>
      <c r="E166">
        <v>0</v>
      </c>
      <c r="F166">
        <v>0</v>
      </c>
      <c r="G166">
        <v>0</v>
      </c>
      <c r="H166">
        <v>0</v>
      </c>
      <c r="I166" s="1">
        <v>45419</v>
      </c>
      <c r="J166" s="1">
        <v>45419</v>
      </c>
      <c r="K166" s="1">
        <v>45419</v>
      </c>
      <c r="L166" s="1">
        <v>45419</v>
      </c>
      <c r="M166" s="1">
        <v>45419</v>
      </c>
      <c r="N166" s="5"/>
      <c r="S166" s="6"/>
      <c r="T166" s="5">
        <f t="shared" si="21"/>
        <v>0</v>
      </c>
      <c r="U166" s="10">
        <f t="shared" si="22"/>
        <v>0</v>
      </c>
      <c r="V166" s="10">
        <f t="shared" si="23"/>
        <v>0</v>
      </c>
      <c r="W166" s="10">
        <f t="shared" si="24"/>
        <v>0</v>
      </c>
      <c r="X166" s="6">
        <f t="shared" si="25"/>
        <v>0</v>
      </c>
      <c r="Y166" s="5">
        <f t="shared" si="26"/>
        <v>0</v>
      </c>
      <c r="Z166" s="10">
        <f t="shared" si="27"/>
        <v>0</v>
      </c>
      <c r="AA166" s="10">
        <f t="shared" si="28"/>
        <v>0</v>
      </c>
      <c r="AB166" s="10">
        <f t="shared" si="29"/>
        <v>0</v>
      </c>
      <c r="AC166" s="6">
        <f t="shared" si="30"/>
        <v>0</v>
      </c>
    </row>
    <row r="167" spans="1:29" x14ac:dyDescent="0.25">
      <c r="A167" t="s">
        <v>114</v>
      </c>
      <c r="B167" t="s">
        <v>163</v>
      </c>
      <c r="C167" s="1" t="s">
        <v>7</v>
      </c>
      <c r="D167">
        <v>0</v>
      </c>
      <c r="E167">
        <v>0</v>
      </c>
      <c r="F167">
        <v>0</v>
      </c>
      <c r="G167">
        <v>0</v>
      </c>
      <c r="H167">
        <v>0</v>
      </c>
      <c r="I167" s="1">
        <v>45419</v>
      </c>
      <c r="J167" s="1">
        <v>45419</v>
      </c>
      <c r="K167" s="1">
        <v>45419</v>
      </c>
      <c r="L167" s="1">
        <v>45419</v>
      </c>
      <c r="M167" s="1">
        <v>45419</v>
      </c>
      <c r="N167" s="5"/>
      <c r="S167" s="6"/>
      <c r="T167" s="5">
        <f t="shared" si="21"/>
        <v>0</v>
      </c>
      <c r="U167" s="10">
        <f t="shared" si="22"/>
        <v>0</v>
      </c>
      <c r="V167" s="10">
        <f t="shared" si="23"/>
        <v>0</v>
      </c>
      <c r="W167" s="10">
        <f t="shared" si="24"/>
        <v>0</v>
      </c>
      <c r="X167" s="6">
        <f t="shared" si="25"/>
        <v>0</v>
      </c>
      <c r="Y167" s="5">
        <f t="shared" si="26"/>
        <v>0</v>
      </c>
      <c r="Z167" s="10">
        <f t="shared" si="27"/>
        <v>0</v>
      </c>
      <c r="AA167" s="10">
        <f t="shared" si="28"/>
        <v>0</v>
      </c>
      <c r="AB167" s="10">
        <f t="shared" si="29"/>
        <v>0</v>
      </c>
      <c r="AC167" s="6">
        <f t="shared" si="30"/>
        <v>0</v>
      </c>
    </row>
    <row r="168" spans="1:29" x14ac:dyDescent="0.25">
      <c r="A168" t="s">
        <v>114</v>
      </c>
      <c r="B168" t="s">
        <v>164</v>
      </c>
      <c r="C168" s="1" t="s">
        <v>7</v>
      </c>
      <c r="D168">
        <v>0</v>
      </c>
      <c r="E168">
        <v>0</v>
      </c>
      <c r="F168">
        <v>0</v>
      </c>
      <c r="G168">
        <v>0</v>
      </c>
      <c r="H168">
        <v>0</v>
      </c>
      <c r="I168" s="1">
        <v>45419</v>
      </c>
      <c r="J168" s="1">
        <v>45419</v>
      </c>
      <c r="K168" s="1">
        <v>45419</v>
      </c>
      <c r="L168" s="1">
        <v>45419</v>
      </c>
      <c r="M168" s="1">
        <v>45419</v>
      </c>
      <c r="N168" s="5"/>
      <c r="S168" s="6"/>
      <c r="T168" s="5">
        <f t="shared" si="21"/>
        <v>0</v>
      </c>
      <c r="U168" s="10">
        <f t="shared" si="22"/>
        <v>0</v>
      </c>
      <c r="V168" s="10">
        <f t="shared" si="23"/>
        <v>0</v>
      </c>
      <c r="W168" s="10">
        <f t="shared" si="24"/>
        <v>0</v>
      </c>
      <c r="X168" s="6">
        <f t="shared" si="25"/>
        <v>0</v>
      </c>
      <c r="Y168" s="5">
        <f t="shared" si="26"/>
        <v>0</v>
      </c>
      <c r="Z168" s="10">
        <f t="shared" si="27"/>
        <v>0</v>
      </c>
      <c r="AA168" s="10">
        <f t="shared" si="28"/>
        <v>0</v>
      </c>
      <c r="AB168" s="10">
        <f t="shared" si="29"/>
        <v>0</v>
      </c>
      <c r="AC168" s="6">
        <f t="shared" si="30"/>
        <v>0</v>
      </c>
    </row>
    <row r="169" spans="1:29" x14ac:dyDescent="0.25">
      <c r="A169" t="s">
        <v>114</v>
      </c>
      <c r="B169" t="s">
        <v>165</v>
      </c>
      <c r="C169" s="1" t="s">
        <v>7</v>
      </c>
      <c r="D169">
        <v>0</v>
      </c>
      <c r="E169">
        <v>0</v>
      </c>
      <c r="F169">
        <v>0</v>
      </c>
      <c r="G169">
        <v>0</v>
      </c>
      <c r="H169">
        <v>0</v>
      </c>
      <c r="I169" s="1">
        <v>45419</v>
      </c>
      <c r="J169" s="1">
        <v>45419</v>
      </c>
      <c r="K169" s="1">
        <v>45419</v>
      </c>
      <c r="L169" s="1">
        <v>45419</v>
      </c>
      <c r="M169" s="1">
        <v>45419</v>
      </c>
      <c r="N169" s="5"/>
      <c r="S169" s="6"/>
      <c r="T169" s="5">
        <f t="shared" si="21"/>
        <v>0</v>
      </c>
      <c r="U169" s="10">
        <f t="shared" si="22"/>
        <v>0</v>
      </c>
      <c r="V169" s="10">
        <f t="shared" si="23"/>
        <v>0</v>
      </c>
      <c r="W169" s="10">
        <f t="shared" si="24"/>
        <v>0</v>
      </c>
      <c r="X169" s="6">
        <f t="shared" si="25"/>
        <v>0</v>
      </c>
      <c r="Y169" s="5">
        <f t="shared" si="26"/>
        <v>0</v>
      </c>
      <c r="Z169" s="10">
        <f t="shared" si="27"/>
        <v>0</v>
      </c>
      <c r="AA169" s="10">
        <f t="shared" si="28"/>
        <v>0</v>
      </c>
      <c r="AB169" s="10">
        <f t="shared" si="29"/>
        <v>0</v>
      </c>
      <c r="AC169" s="6">
        <f t="shared" si="30"/>
        <v>0</v>
      </c>
    </row>
    <row r="170" spans="1:29" x14ac:dyDescent="0.25">
      <c r="A170" t="s">
        <v>114</v>
      </c>
      <c r="B170" t="s">
        <v>166</v>
      </c>
      <c r="C170" s="1" t="s">
        <v>7</v>
      </c>
      <c r="D170">
        <v>0</v>
      </c>
      <c r="E170">
        <v>0</v>
      </c>
      <c r="F170">
        <v>0</v>
      </c>
      <c r="G170">
        <v>0</v>
      </c>
      <c r="H170">
        <v>0</v>
      </c>
      <c r="I170" s="1">
        <v>45419</v>
      </c>
      <c r="J170" s="1">
        <v>45419</v>
      </c>
      <c r="K170" s="1">
        <v>45419</v>
      </c>
      <c r="L170" s="1">
        <v>45419</v>
      </c>
      <c r="M170" s="1">
        <v>45419</v>
      </c>
      <c r="N170" s="5"/>
      <c r="S170" s="6"/>
      <c r="T170" s="5">
        <f t="shared" si="21"/>
        <v>0</v>
      </c>
      <c r="U170" s="10">
        <f t="shared" si="22"/>
        <v>0</v>
      </c>
      <c r="V170" s="10">
        <f t="shared" si="23"/>
        <v>0</v>
      </c>
      <c r="W170" s="10">
        <f t="shared" si="24"/>
        <v>0</v>
      </c>
      <c r="X170" s="6">
        <f t="shared" si="25"/>
        <v>0</v>
      </c>
      <c r="Y170" s="5">
        <f t="shared" si="26"/>
        <v>0</v>
      </c>
      <c r="Z170" s="10">
        <f t="shared" si="27"/>
        <v>0</v>
      </c>
      <c r="AA170" s="10">
        <f t="shared" si="28"/>
        <v>0</v>
      </c>
      <c r="AB170" s="10">
        <f t="shared" si="29"/>
        <v>0</v>
      </c>
      <c r="AC170" s="6">
        <f t="shared" si="30"/>
        <v>0</v>
      </c>
    </row>
    <row r="171" spans="1:29" x14ac:dyDescent="0.25">
      <c r="A171" t="s">
        <v>114</v>
      </c>
      <c r="B171" t="s">
        <v>167</v>
      </c>
      <c r="C171" s="1" t="s">
        <v>7</v>
      </c>
      <c r="D171">
        <v>0</v>
      </c>
      <c r="E171">
        <v>0</v>
      </c>
      <c r="F171">
        <v>0</v>
      </c>
      <c r="G171">
        <v>0</v>
      </c>
      <c r="H171">
        <v>0</v>
      </c>
      <c r="I171" s="1">
        <v>45419</v>
      </c>
      <c r="J171" s="1">
        <v>45419</v>
      </c>
      <c r="K171" s="1">
        <v>45419</v>
      </c>
      <c r="L171" s="1">
        <v>45419</v>
      </c>
      <c r="M171" s="1">
        <v>45419</v>
      </c>
      <c r="N171" s="5"/>
      <c r="S171" s="6"/>
      <c r="T171" s="5">
        <f t="shared" si="21"/>
        <v>0</v>
      </c>
      <c r="U171" s="10">
        <f t="shared" si="22"/>
        <v>0</v>
      </c>
      <c r="V171" s="10">
        <f t="shared" si="23"/>
        <v>0</v>
      </c>
      <c r="W171" s="10">
        <f t="shared" si="24"/>
        <v>0</v>
      </c>
      <c r="X171" s="6">
        <f t="shared" si="25"/>
        <v>0</v>
      </c>
      <c r="Y171" s="5">
        <f t="shared" si="26"/>
        <v>0</v>
      </c>
      <c r="Z171" s="10">
        <f t="shared" si="27"/>
        <v>0</v>
      </c>
      <c r="AA171" s="10">
        <f t="shared" si="28"/>
        <v>0</v>
      </c>
      <c r="AB171" s="10">
        <f t="shared" si="29"/>
        <v>0</v>
      </c>
      <c r="AC171" s="6">
        <f t="shared" si="30"/>
        <v>0</v>
      </c>
    </row>
    <row r="172" spans="1:29" x14ac:dyDescent="0.25">
      <c r="A172" t="s">
        <v>114</v>
      </c>
      <c r="B172" t="s">
        <v>168</v>
      </c>
      <c r="C172" s="1" t="s">
        <v>7</v>
      </c>
      <c r="D172">
        <v>0</v>
      </c>
      <c r="E172">
        <v>0</v>
      </c>
      <c r="F172">
        <v>0</v>
      </c>
      <c r="G172">
        <v>0</v>
      </c>
      <c r="H172">
        <v>0</v>
      </c>
      <c r="I172" s="1">
        <v>45419</v>
      </c>
      <c r="J172" s="1">
        <v>45419</v>
      </c>
      <c r="K172" s="1">
        <v>45419</v>
      </c>
      <c r="L172" s="1">
        <v>45419</v>
      </c>
      <c r="M172" s="1">
        <v>45419</v>
      </c>
      <c r="N172" s="5"/>
      <c r="S172" s="6"/>
      <c r="T172" s="5">
        <f t="shared" si="21"/>
        <v>0</v>
      </c>
      <c r="U172" s="10">
        <f t="shared" si="22"/>
        <v>0</v>
      </c>
      <c r="V172" s="10">
        <f t="shared" si="23"/>
        <v>0</v>
      </c>
      <c r="W172" s="10">
        <f t="shared" si="24"/>
        <v>0</v>
      </c>
      <c r="X172" s="6">
        <f t="shared" si="25"/>
        <v>0</v>
      </c>
      <c r="Y172" s="5">
        <f t="shared" si="26"/>
        <v>0</v>
      </c>
      <c r="Z172" s="10">
        <f t="shared" si="27"/>
        <v>0</v>
      </c>
      <c r="AA172" s="10">
        <f t="shared" si="28"/>
        <v>0</v>
      </c>
      <c r="AB172" s="10">
        <f t="shared" si="29"/>
        <v>0</v>
      </c>
      <c r="AC172" s="6">
        <f t="shared" si="30"/>
        <v>0</v>
      </c>
    </row>
    <row r="173" spans="1:29" x14ac:dyDescent="0.25">
      <c r="A173" t="s">
        <v>114</v>
      </c>
      <c r="B173" t="s">
        <v>169</v>
      </c>
      <c r="C173" s="1" t="s">
        <v>7</v>
      </c>
      <c r="D173">
        <v>0</v>
      </c>
      <c r="E173">
        <v>0</v>
      </c>
      <c r="F173">
        <v>0</v>
      </c>
      <c r="G173">
        <v>0</v>
      </c>
      <c r="H173">
        <v>0</v>
      </c>
      <c r="I173" s="1">
        <v>45419</v>
      </c>
      <c r="J173" s="1">
        <v>45419</v>
      </c>
      <c r="K173" s="1">
        <v>45419</v>
      </c>
      <c r="L173" s="1">
        <v>45419</v>
      </c>
      <c r="M173" s="1">
        <v>45419</v>
      </c>
      <c r="N173" s="5"/>
      <c r="S173" s="6"/>
      <c r="T173" s="5">
        <f t="shared" si="21"/>
        <v>0</v>
      </c>
      <c r="U173" s="10">
        <f t="shared" si="22"/>
        <v>0</v>
      </c>
      <c r="V173" s="10">
        <f t="shared" si="23"/>
        <v>0</v>
      </c>
      <c r="W173" s="10">
        <f t="shared" si="24"/>
        <v>0</v>
      </c>
      <c r="X173" s="6">
        <f t="shared" si="25"/>
        <v>0</v>
      </c>
      <c r="Y173" s="5">
        <f t="shared" si="26"/>
        <v>0</v>
      </c>
      <c r="Z173" s="10">
        <f t="shared" si="27"/>
        <v>0</v>
      </c>
      <c r="AA173" s="10">
        <f t="shared" si="28"/>
        <v>0</v>
      </c>
      <c r="AB173" s="10">
        <f t="shared" si="29"/>
        <v>0</v>
      </c>
      <c r="AC173" s="6">
        <f t="shared" si="30"/>
        <v>0</v>
      </c>
    </row>
    <row r="174" spans="1:29" x14ac:dyDescent="0.25">
      <c r="A174" t="s">
        <v>114</v>
      </c>
      <c r="B174" t="s">
        <v>170</v>
      </c>
      <c r="C174" s="1" t="s">
        <v>7</v>
      </c>
      <c r="D174">
        <v>0</v>
      </c>
      <c r="E174">
        <v>0</v>
      </c>
      <c r="F174">
        <v>0</v>
      </c>
      <c r="G174">
        <v>0</v>
      </c>
      <c r="H174">
        <v>0</v>
      </c>
      <c r="I174" s="1">
        <v>45419</v>
      </c>
      <c r="J174" s="1">
        <v>45419</v>
      </c>
      <c r="K174" s="1">
        <v>45419</v>
      </c>
      <c r="L174" s="1">
        <v>45419</v>
      </c>
      <c r="M174" s="1">
        <v>45419</v>
      </c>
      <c r="N174" s="5"/>
      <c r="S174" s="6"/>
      <c r="T174" s="5">
        <f t="shared" si="21"/>
        <v>0</v>
      </c>
      <c r="U174" s="10">
        <f t="shared" si="22"/>
        <v>0</v>
      </c>
      <c r="V174" s="10">
        <f t="shared" si="23"/>
        <v>0</v>
      </c>
      <c r="W174" s="10">
        <f t="shared" si="24"/>
        <v>0</v>
      </c>
      <c r="X174" s="6">
        <f t="shared" si="25"/>
        <v>0</v>
      </c>
      <c r="Y174" s="5">
        <f t="shared" si="26"/>
        <v>0</v>
      </c>
      <c r="Z174" s="10">
        <f t="shared" si="27"/>
        <v>0</v>
      </c>
      <c r="AA174" s="10">
        <f t="shared" si="28"/>
        <v>0</v>
      </c>
      <c r="AB174" s="10">
        <f t="shared" si="29"/>
        <v>0</v>
      </c>
      <c r="AC174" s="6">
        <f t="shared" si="30"/>
        <v>0</v>
      </c>
    </row>
    <row r="175" spans="1:29" x14ac:dyDescent="0.25">
      <c r="A175" t="s">
        <v>114</v>
      </c>
      <c r="B175" t="s">
        <v>171</v>
      </c>
      <c r="C175" s="1" t="s">
        <v>7</v>
      </c>
      <c r="D175">
        <v>0</v>
      </c>
      <c r="E175">
        <v>0</v>
      </c>
      <c r="F175">
        <v>0</v>
      </c>
      <c r="G175">
        <v>38</v>
      </c>
      <c r="H175">
        <v>0</v>
      </c>
      <c r="I175" s="1">
        <v>45419</v>
      </c>
      <c r="J175" s="1">
        <v>45419</v>
      </c>
      <c r="K175" s="1">
        <v>45419</v>
      </c>
      <c r="L175" s="1">
        <v>45457</v>
      </c>
      <c r="M175" s="1">
        <v>45419</v>
      </c>
      <c r="N175" s="5">
        <v>54.540000915527337</v>
      </c>
      <c r="R175">
        <v>49.380001068115227</v>
      </c>
      <c r="S175" s="6"/>
      <c r="T175" s="5">
        <f t="shared" si="21"/>
        <v>0</v>
      </c>
      <c r="U175" s="10">
        <f t="shared" si="22"/>
        <v>0</v>
      </c>
      <c r="V175" s="10">
        <f t="shared" si="23"/>
        <v>0</v>
      </c>
      <c r="W175" s="10">
        <f t="shared" si="24"/>
        <v>-9.460945656022302</v>
      </c>
      <c r="X175" s="6">
        <f t="shared" si="25"/>
        <v>0</v>
      </c>
      <c r="Y175" s="5">
        <f t="shared" si="26"/>
        <v>0</v>
      </c>
      <c r="Z175" s="10">
        <f t="shared" si="27"/>
        <v>0</v>
      </c>
      <c r="AA175" s="10">
        <f t="shared" si="28"/>
        <v>0</v>
      </c>
      <c r="AB175" s="10">
        <f t="shared" si="29"/>
        <v>-94.609456560223023</v>
      </c>
      <c r="AC175" s="6">
        <f t="shared" si="30"/>
        <v>0</v>
      </c>
    </row>
    <row r="176" spans="1:29" x14ac:dyDescent="0.25">
      <c r="A176" t="s">
        <v>114</v>
      </c>
      <c r="B176" t="s">
        <v>172</v>
      </c>
      <c r="C176" s="1" t="s">
        <v>7</v>
      </c>
      <c r="D176">
        <v>0</v>
      </c>
      <c r="E176">
        <v>0</v>
      </c>
      <c r="F176">
        <v>0</v>
      </c>
      <c r="G176">
        <v>0</v>
      </c>
      <c r="H176">
        <v>0</v>
      </c>
      <c r="I176" s="1">
        <v>45419</v>
      </c>
      <c r="J176" s="1">
        <v>45419</v>
      </c>
      <c r="K176" s="1">
        <v>45419</v>
      </c>
      <c r="L176" s="1">
        <v>45419</v>
      </c>
      <c r="M176" s="1">
        <v>45419</v>
      </c>
      <c r="N176" s="5"/>
      <c r="S176" s="6"/>
      <c r="T176" s="5">
        <f t="shared" si="21"/>
        <v>0</v>
      </c>
      <c r="U176" s="10">
        <f t="shared" si="22"/>
        <v>0</v>
      </c>
      <c r="V176" s="10">
        <f t="shared" si="23"/>
        <v>0</v>
      </c>
      <c r="W176" s="10">
        <f t="shared" si="24"/>
        <v>0</v>
      </c>
      <c r="X176" s="6">
        <f t="shared" si="25"/>
        <v>0</v>
      </c>
      <c r="Y176" s="5">
        <f t="shared" si="26"/>
        <v>0</v>
      </c>
      <c r="Z176" s="10">
        <f t="shared" si="27"/>
        <v>0</v>
      </c>
      <c r="AA176" s="10">
        <f t="shared" si="28"/>
        <v>0</v>
      </c>
      <c r="AB176" s="10">
        <f t="shared" si="29"/>
        <v>0</v>
      </c>
      <c r="AC176" s="6">
        <f t="shared" si="30"/>
        <v>0</v>
      </c>
    </row>
    <row r="177" spans="1:29" x14ac:dyDescent="0.25">
      <c r="A177" t="s">
        <v>114</v>
      </c>
      <c r="B177" t="s">
        <v>42</v>
      </c>
      <c r="C177" s="1" t="s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 s="1">
        <v>45419</v>
      </c>
      <c r="J177" s="1">
        <v>45419</v>
      </c>
      <c r="K177" s="1">
        <v>45419</v>
      </c>
      <c r="L177" s="1">
        <v>45419</v>
      </c>
      <c r="M177" s="1">
        <v>45419</v>
      </c>
      <c r="N177" s="5"/>
      <c r="S177" s="6"/>
      <c r="T177" s="5">
        <f t="shared" si="21"/>
        <v>0</v>
      </c>
      <c r="U177" s="10">
        <f t="shared" si="22"/>
        <v>0</v>
      </c>
      <c r="V177" s="10">
        <f t="shared" si="23"/>
        <v>0</v>
      </c>
      <c r="W177" s="10">
        <f t="shared" si="24"/>
        <v>0</v>
      </c>
      <c r="X177" s="6">
        <f t="shared" si="25"/>
        <v>0</v>
      </c>
      <c r="Y177" s="5">
        <f t="shared" si="26"/>
        <v>0</v>
      </c>
      <c r="Z177" s="10">
        <f t="shared" si="27"/>
        <v>0</v>
      </c>
      <c r="AA177" s="10">
        <f t="shared" si="28"/>
        <v>0</v>
      </c>
      <c r="AB177" s="10">
        <f t="shared" si="29"/>
        <v>0</v>
      </c>
      <c r="AC177" s="6">
        <f t="shared" si="30"/>
        <v>0</v>
      </c>
    </row>
    <row r="178" spans="1:29" x14ac:dyDescent="0.25">
      <c r="A178" t="s">
        <v>114</v>
      </c>
      <c r="B178" t="s">
        <v>173</v>
      </c>
      <c r="C178" s="1" t="s">
        <v>7</v>
      </c>
      <c r="D178">
        <v>0</v>
      </c>
      <c r="E178">
        <v>0</v>
      </c>
      <c r="F178">
        <v>0</v>
      </c>
      <c r="G178">
        <v>0</v>
      </c>
      <c r="H178">
        <v>0</v>
      </c>
      <c r="I178" s="1">
        <v>45419</v>
      </c>
      <c r="J178" s="1">
        <v>45419</v>
      </c>
      <c r="K178" s="1">
        <v>45419</v>
      </c>
      <c r="L178" s="1">
        <v>45419</v>
      </c>
      <c r="M178" s="1">
        <v>45419</v>
      </c>
      <c r="N178" s="5"/>
      <c r="S178" s="6"/>
      <c r="T178" s="5">
        <f t="shared" si="21"/>
        <v>0</v>
      </c>
      <c r="U178" s="10">
        <f t="shared" si="22"/>
        <v>0</v>
      </c>
      <c r="V178" s="10">
        <f t="shared" si="23"/>
        <v>0</v>
      </c>
      <c r="W178" s="10">
        <f t="shared" si="24"/>
        <v>0</v>
      </c>
      <c r="X178" s="6">
        <f t="shared" si="25"/>
        <v>0</v>
      </c>
      <c r="Y178" s="5">
        <f t="shared" si="26"/>
        <v>0</v>
      </c>
      <c r="Z178" s="10">
        <f t="shared" si="27"/>
        <v>0</v>
      </c>
      <c r="AA178" s="10">
        <f t="shared" si="28"/>
        <v>0</v>
      </c>
      <c r="AB178" s="10">
        <f t="shared" si="29"/>
        <v>0</v>
      </c>
      <c r="AC178" s="6">
        <f t="shared" si="30"/>
        <v>0</v>
      </c>
    </row>
    <row r="179" spans="1:29" x14ac:dyDescent="0.25">
      <c r="A179" t="s">
        <v>114</v>
      </c>
      <c r="B179" t="s">
        <v>174</v>
      </c>
      <c r="C179" s="1" t="s">
        <v>7</v>
      </c>
      <c r="D179">
        <v>0</v>
      </c>
      <c r="E179">
        <v>0</v>
      </c>
      <c r="F179">
        <v>0</v>
      </c>
      <c r="G179">
        <v>0</v>
      </c>
      <c r="H179">
        <v>0</v>
      </c>
      <c r="I179" s="1">
        <v>45419</v>
      </c>
      <c r="J179" s="1">
        <v>45419</v>
      </c>
      <c r="K179" s="1">
        <v>45419</v>
      </c>
      <c r="L179" s="1">
        <v>45419</v>
      </c>
      <c r="M179" s="1">
        <v>45419</v>
      </c>
      <c r="N179" s="5"/>
      <c r="S179" s="6"/>
      <c r="T179" s="5">
        <f t="shared" si="21"/>
        <v>0</v>
      </c>
      <c r="U179" s="10">
        <f t="shared" si="22"/>
        <v>0</v>
      </c>
      <c r="V179" s="10">
        <f t="shared" si="23"/>
        <v>0</v>
      </c>
      <c r="W179" s="10">
        <f t="shared" si="24"/>
        <v>0</v>
      </c>
      <c r="X179" s="6">
        <f t="shared" si="25"/>
        <v>0</v>
      </c>
      <c r="Y179" s="5">
        <f t="shared" si="26"/>
        <v>0</v>
      </c>
      <c r="Z179" s="10">
        <f t="shared" si="27"/>
        <v>0</v>
      </c>
      <c r="AA179" s="10">
        <f t="shared" si="28"/>
        <v>0</v>
      </c>
      <c r="AB179" s="10">
        <f t="shared" si="29"/>
        <v>0</v>
      </c>
      <c r="AC179" s="6">
        <f t="shared" si="30"/>
        <v>0</v>
      </c>
    </row>
    <row r="180" spans="1:29" x14ac:dyDescent="0.25">
      <c r="A180" t="s">
        <v>114</v>
      </c>
      <c r="B180" t="s">
        <v>175</v>
      </c>
      <c r="C180" s="1" t="s">
        <v>7</v>
      </c>
      <c r="D180">
        <v>0</v>
      </c>
      <c r="E180">
        <v>0</v>
      </c>
      <c r="F180">
        <v>0</v>
      </c>
      <c r="G180">
        <v>0</v>
      </c>
      <c r="H180">
        <v>0</v>
      </c>
      <c r="I180" s="1">
        <v>45419</v>
      </c>
      <c r="J180" s="1">
        <v>45419</v>
      </c>
      <c r="K180" s="1">
        <v>45419</v>
      </c>
      <c r="L180" s="1">
        <v>45419</v>
      </c>
      <c r="M180" s="1">
        <v>45419</v>
      </c>
      <c r="N180" s="5"/>
      <c r="S180" s="6"/>
      <c r="T180" s="5">
        <f t="shared" si="21"/>
        <v>0</v>
      </c>
      <c r="U180" s="10">
        <f t="shared" si="22"/>
        <v>0</v>
      </c>
      <c r="V180" s="10">
        <f t="shared" si="23"/>
        <v>0</v>
      </c>
      <c r="W180" s="10">
        <f t="shared" si="24"/>
        <v>0</v>
      </c>
      <c r="X180" s="6">
        <f t="shared" si="25"/>
        <v>0</v>
      </c>
      <c r="Y180" s="5">
        <f t="shared" si="26"/>
        <v>0</v>
      </c>
      <c r="Z180" s="10">
        <f t="shared" si="27"/>
        <v>0</v>
      </c>
      <c r="AA180" s="10">
        <f t="shared" si="28"/>
        <v>0</v>
      </c>
      <c r="AB180" s="10">
        <f t="shared" si="29"/>
        <v>0</v>
      </c>
      <c r="AC180" s="6">
        <f t="shared" si="30"/>
        <v>0</v>
      </c>
    </row>
    <row r="181" spans="1:29" x14ac:dyDescent="0.25">
      <c r="A181" t="s">
        <v>114</v>
      </c>
      <c r="B181" t="s">
        <v>176</v>
      </c>
      <c r="C181" s="1" t="s">
        <v>7</v>
      </c>
      <c r="D181">
        <v>0</v>
      </c>
      <c r="E181">
        <v>0</v>
      </c>
      <c r="F181">
        <v>0</v>
      </c>
      <c r="G181">
        <v>0</v>
      </c>
      <c r="H181">
        <v>0</v>
      </c>
      <c r="I181" s="1">
        <v>45419</v>
      </c>
      <c r="J181" s="1">
        <v>45419</v>
      </c>
      <c r="K181" s="1">
        <v>45419</v>
      </c>
      <c r="L181" s="1">
        <v>45419</v>
      </c>
      <c r="M181" s="1">
        <v>45419</v>
      </c>
      <c r="N181" s="5"/>
      <c r="S181" s="6"/>
      <c r="T181" s="5">
        <f t="shared" si="21"/>
        <v>0</v>
      </c>
      <c r="U181" s="10">
        <f t="shared" si="22"/>
        <v>0</v>
      </c>
      <c r="V181" s="10">
        <f t="shared" si="23"/>
        <v>0</v>
      </c>
      <c r="W181" s="10">
        <f t="shared" si="24"/>
        <v>0</v>
      </c>
      <c r="X181" s="6">
        <f t="shared" si="25"/>
        <v>0</v>
      </c>
      <c r="Y181" s="5">
        <f t="shared" si="26"/>
        <v>0</v>
      </c>
      <c r="Z181" s="10">
        <f t="shared" si="27"/>
        <v>0</v>
      </c>
      <c r="AA181" s="10">
        <f t="shared" si="28"/>
        <v>0</v>
      </c>
      <c r="AB181" s="10">
        <f t="shared" si="29"/>
        <v>0</v>
      </c>
      <c r="AC181" s="6">
        <f t="shared" si="30"/>
        <v>0</v>
      </c>
    </row>
    <row r="182" spans="1:29" x14ac:dyDescent="0.25">
      <c r="A182" t="s">
        <v>114</v>
      </c>
      <c r="B182" t="s">
        <v>177</v>
      </c>
      <c r="C182" s="1" t="s">
        <v>7</v>
      </c>
      <c r="D182">
        <v>0</v>
      </c>
      <c r="E182">
        <v>0</v>
      </c>
      <c r="F182">
        <v>0</v>
      </c>
      <c r="G182">
        <v>0</v>
      </c>
      <c r="H182">
        <v>0</v>
      </c>
      <c r="I182" s="1">
        <v>45419</v>
      </c>
      <c r="J182" s="1">
        <v>45419</v>
      </c>
      <c r="K182" s="1">
        <v>45419</v>
      </c>
      <c r="L182" s="1">
        <v>45419</v>
      </c>
      <c r="M182" s="1">
        <v>45419</v>
      </c>
      <c r="N182" s="5"/>
      <c r="S182" s="6"/>
      <c r="T182" s="5">
        <f t="shared" si="21"/>
        <v>0</v>
      </c>
      <c r="U182" s="10">
        <f t="shared" si="22"/>
        <v>0</v>
      </c>
      <c r="V182" s="10">
        <f t="shared" si="23"/>
        <v>0</v>
      </c>
      <c r="W182" s="10">
        <f t="shared" si="24"/>
        <v>0</v>
      </c>
      <c r="X182" s="6">
        <f t="shared" si="25"/>
        <v>0</v>
      </c>
      <c r="Y182" s="5">
        <f t="shared" si="26"/>
        <v>0</v>
      </c>
      <c r="Z182" s="10">
        <f t="shared" si="27"/>
        <v>0</v>
      </c>
      <c r="AA182" s="10">
        <f t="shared" si="28"/>
        <v>0</v>
      </c>
      <c r="AB182" s="10">
        <f t="shared" si="29"/>
        <v>0</v>
      </c>
      <c r="AC182" s="6">
        <f t="shared" si="30"/>
        <v>0</v>
      </c>
    </row>
    <row r="183" spans="1:29" x14ac:dyDescent="0.25">
      <c r="A183" t="s">
        <v>114</v>
      </c>
      <c r="B183" t="s">
        <v>178</v>
      </c>
      <c r="C183" s="1" t="s">
        <v>7</v>
      </c>
      <c r="D183">
        <v>0</v>
      </c>
      <c r="E183">
        <v>0</v>
      </c>
      <c r="F183">
        <v>0</v>
      </c>
      <c r="G183">
        <v>38</v>
      </c>
      <c r="H183">
        <v>0</v>
      </c>
      <c r="I183" s="1">
        <v>45419</v>
      </c>
      <c r="J183" s="1">
        <v>45419</v>
      </c>
      <c r="K183" s="1">
        <v>45419</v>
      </c>
      <c r="L183" s="1">
        <v>45457</v>
      </c>
      <c r="M183" s="1">
        <v>45419</v>
      </c>
      <c r="N183" s="5">
        <v>131.01840304762891</v>
      </c>
      <c r="R183">
        <v>142.9652051575604</v>
      </c>
      <c r="S183" s="6"/>
      <c r="T183" s="5">
        <f t="shared" si="21"/>
        <v>0</v>
      </c>
      <c r="U183" s="10">
        <f t="shared" si="22"/>
        <v>0</v>
      </c>
      <c r="V183" s="10">
        <f t="shared" si="23"/>
        <v>0</v>
      </c>
      <c r="W183" s="10">
        <f t="shared" si="24"/>
        <v>9.1184153004738597</v>
      </c>
      <c r="X183" s="6">
        <f t="shared" si="25"/>
        <v>0</v>
      </c>
      <c r="Y183" s="5">
        <f t="shared" si="26"/>
        <v>0</v>
      </c>
      <c r="Z183" s="10">
        <f t="shared" si="27"/>
        <v>0</v>
      </c>
      <c r="AA183" s="10">
        <f t="shared" si="28"/>
        <v>0</v>
      </c>
      <c r="AB183" s="10">
        <f t="shared" si="29"/>
        <v>91.184153004738604</v>
      </c>
      <c r="AC183" s="6">
        <f t="shared" si="30"/>
        <v>0</v>
      </c>
    </row>
    <row r="184" spans="1:29" x14ac:dyDescent="0.25">
      <c r="A184" t="s">
        <v>114</v>
      </c>
      <c r="B184" t="s">
        <v>179</v>
      </c>
      <c r="C184" s="1" t="s">
        <v>7</v>
      </c>
      <c r="D184">
        <v>0</v>
      </c>
      <c r="E184">
        <v>0</v>
      </c>
      <c r="F184">
        <v>0</v>
      </c>
      <c r="G184">
        <v>0</v>
      </c>
      <c r="H184">
        <v>0</v>
      </c>
      <c r="I184" s="1">
        <v>45419</v>
      </c>
      <c r="J184" s="1">
        <v>45419</v>
      </c>
      <c r="K184" s="1">
        <v>45419</v>
      </c>
      <c r="L184" s="1">
        <v>45419</v>
      </c>
      <c r="M184" s="1">
        <v>45419</v>
      </c>
      <c r="N184" s="5"/>
      <c r="S184" s="6"/>
      <c r="T184" s="5">
        <f t="shared" si="21"/>
        <v>0</v>
      </c>
      <c r="U184" s="10">
        <f t="shared" si="22"/>
        <v>0</v>
      </c>
      <c r="V184" s="10">
        <f t="shared" si="23"/>
        <v>0</v>
      </c>
      <c r="W184" s="10">
        <f t="shared" si="24"/>
        <v>0</v>
      </c>
      <c r="X184" s="6">
        <f t="shared" si="25"/>
        <v>0</v>
      </c>
      <c r="Y184" s="5">
        <f t="shared" si="26"/>
        <v>0</v>
      </c>
      <c r="Z184" s="10">
        <f t="shared" si="27"/>
        <v>0</v>
      </c>
      <c r="AA184" s="10">
        <f t="shared" si="28"/>
        <v>0</v>
      </c>
      <c r="AB184" s="10">
        <f t="shared" si="29"/>
        <v>0</v>
      </c>
      <c r="AC184" s="6">
        <f t="shared" si="30"/>
        <v>0</v>
      </c>
    </row>
    <row r="185" spans="1:29" x14ac:dyDescent="0.25">
      <c r="A185" t="s">
        <v>114</v>
      </c>
      <c r="B185" t="s">
        <v>180</v>
      </c>
      <c r="C185" s="1" t="s">
        <v>7</v>
      </c>
      <c r="D185">
        <v>0</v>
      </c>
      <c r="E185">
        <v>0</v>
      </c>
      <c r="F185">
        <v>0</v>
      </c>
      <c r="G185">
        <v>0</v>
      </c>
      <c r="H185">
        <v>0</v>
      </c>
      <c r="I185" s="1">
        <v>45419</v>
      </c>
      <c r="J185" s="1">
        <v>45419</v>
      </c>
      <c r="K185" s="1">
        <v>45419</v>
      </c>
      <c r="L185" s="1">
        <v>45419</v>
      </c>
      <c r="M185" s="1">
        <v>45419</v>
      </c>
      <c r="N185" s="5"/>
      <c r="S185" s="6"/>
      <c r="T185" s="5">
        <f t="shared" si="21"/>
        <v>0</v>
      </c>
      <c r="U185" s="10">
        <f t="shared" si="22"/>
        <v>0</v>
      </c>
      <c r="V185" s="10">
        <f t="shared" si="23"/>
        <v>0</v>
      </c>
      <c r="W185" s="10">
        <f t="shared" si="24"/>
        <v>0</v>
      </c>
      <c r="X185" s="6">
        <f t="shared" si="25"/>
        <v>0</v>
      </c>
      <c r="Y185" s="5">
        <f t="shared" si="26"/>
        <v>0</v>
      </c>
      <c r="Z185" s="10">
        <f t="shared" si="27"/>
        <v>0</v>
      </c>
      <c r="AA185" s="10">
        <f t="shared" si="28"/>
        <v>0</v>
      </c>
      <c r="AB185" s="10">
        <f t="shared" si="29"/>
        <v>0</v>
      </c>
      <c r="AC185" s="6">
        <f t="shared" si="30"/>
        <v>0</v>
      </c>
    </row>
    <row r="186" spans="1:29" x14ac:dyDescent="0.25">
      <c r="A186" t="s">
        <v>114</v>
      </c>
      <c r="B186" t="s">
        <v>181</v>
      </c>
      <c r="C186" s="1" t="s">
        <v>7</v>
      </c>
      <c r="D186">
        <v>0</v>
      </c>
      <c r="E186">
        <v>0</v>
      </c>
      <c r="F186">
        <v>0</v>
      </c>
      <c r="G186">
        <v>38</v>
      </c>
      <c r="H186">
        <v>0</v>
      </c>
      <c r="I186" s="1">
        <v>45419</v>
      </c>
      <c r="J186" s="1">
        <v>45419</v>
      </c>
      <c r="K186" s="1">
        <v>45419</v>
      </c>
      <c r="L186" s="1">
        <v>45457</v>
      </c>
      <c r="M186" s="1">
        <v>45419</v>
      </c>
      <c r="N186" s="5">
        <v>69.959999084472656</v>
      </c>
      <c r="R186">
        <v>69.639999389648438</v>
      </c>
      <c r="S186" s="6"/>
      <c r="T186" s="5">
        <f t="shared" si="21"/>
        <v>0</v>
      </c>
      <c r="U186" s="10">
        <f t="shared" si="22"/>
        <v>0</v>
      </c>
      <c r="V186" s="10">
        <f t="shared" si="23"/>
        <v>0</v>
      </c>
      <c r="W186" s="10">
        <f t="shared" si="24"/>
        <v>-0.45740380076025877</v>
      </c>
      <c r="X186" s="6">
        <f t="shared" si="25"/>
        <v>0</v>
      </c>
      <c r="Y186" s="5">
        <f t="shared" si="26"/>
        <v>0</v>
      </c>
      <c r="Z186" s="10">
        <f t="shared" si="27"/>
        <v>0</v>
      </c>
      <c r="AA186" s="10">
        <f t="shared" si="28"/>
        <v>0</v>
      </c>
      <c r="AB186" s="10">
        <f t="shared" si="29"/>
        <v>-4.5740380076025877</v>
      </c>
      <c r="AC186" s="6">
        <f t="shared" si="30"/>
        <v>0</v>
      </c>
    </row>
    <row r="187" spans="1:29" x14ac:dyDescent="0.25">
      <c r="A187" t="s">
        <v>114</v>
      </c>
      <c r="B187" t="s">
        <v>182</v>
      </c>
      <c r="C187" s="1" t="s">
        <v>7</v>
      </c>
      <c r="D187">
        <v>0</v>
      </c>
      <c r="E187">
        <v>0</v>
      </c>
      <c r="F187">
        <v>38</v>
      </c>
      <c r="G187">
        <v>0</v>
      </c>
      <c r="H187">
        <v>0</v>
      </c>
      <c r="I187" s="1">
        <v>45419</v>
      </c>
      <c r="J187" s="1">
        <v>45419</v>
      </c>
      <c r="K187" s="1">
        <v>45457</v>
      </c>
      <c r="L187" s="1">
        <v>45419</v>
      </c>
      <c r="M187" s="1">
        <v>45419</v>
      </c>
      <c r="N187" s="5">
        <v>12.557793959237641</v>
      </c>
      <c r="Q187">
        <v>13.44452571499524</v>
      </c>
      <c r="S187" s="6"/>
      <c r="T187" s="5">
        <f t="shared" si="21"/>
        <v>0</v>
      </c>
      <c r="U187" s="10">
        <f t="shared" si="22"/>
        <v>0</v>
      </c>
      <c r="V187" s="10">
        <f t="shared" si="23"/>
        <v>7.0612064398883678</v>
      </c>
      <c r="W187" s="10">
        <f t="shared" si="24"/>
        <v>0</v>
      </c>
      <c r="X187" s="6">
        <f t="shared" si="25"/>
        <v>0</v>
      </c>
      <c r="Y187" s="5">
        <f t="shared" si="26"/>
        <v>0</v>
      </c>
      <c r="Z187" s="10">
        <f t="shared" si="27"/>
        <v>0</v>
      </c>
      <c r="AA187" s="10">
        <f t="shared" si="28"/>
        <v>70.612064398883675</v>
      </c>
      <c r="AB187" s="10">
        <f t="shared" si="29"/>
        <v>0</v>
      </c>
      <c r="AC187" s="6">
        <f t="shared" si="30"/>
        <v>0</v>
      </c>
    </row>
    <row r="188" spans="1:29" x14ac:dyDescent="0.25">
      <c r="A188" t="s">
        <v>114</v>
      </c>
      <c r="B188" t="s">
        <v>183</v>
      </c>
      <c r="C188" s="1" t="s">
        <v>7</v>
      </c>
      <c r="D188">
        <v>0</v>
      </c>
      <c r="E188">
        <v>37</v>
      </c>
      <c r="F188">
        <v>0</v>
      </c>
      <c r="G188">
        <v>0</v>
      </c>
      <c r="H188">
        <v>34</v>
      </c>
      <c r="I188" s="1">
        <v>45419</v>
      </c>
      <c r="J188" s="1">
        <v>45456</v>
      </c>
      <c r="K188" s="1">
        <v>45419</v>
      </c>
      <c r="L188" s="1">
        <v>45419</v>
      </c>
      <c r="M188" s="1">
        <v>45453</v>
      </c>
      <c r="N188" s="5">
        <v>230.75954929188279</v>
      </c>
      <c r="P188">
        <v>236.21952750686171</v>
      </c>
      <c r="S188" s="6">
        <v>235.1264707300856</v>
      </c>
      <c r="T188" s="5">
        <f t="shared" si="21"/>
        <v>0</v>
      </c>
      <c r="U188" s="10">
        <f t="shared" si="22"/>
        <v>2.3660898245527084</v>
      </c>
      <c r="V188" s="10">
        <f t="shared" si="23"/>
        <v>0</v>
      </c>
      <c r="W188" s="10">
        <f t="shared" si="24"/>
        <v>0</v>
      </c>
      <c r="X188" s="6">
        <f t="shared" si="25"/>
        <v>1.8924120157121527</v>
      </c>
      <c r="Y188" s="5">
        <f t="shared" si="26"/>
        <v>0</v>
      </c>
      <c r="Z188" s="10">
        <f t="shared" si="27"/>
        <v>23.660898245527083</v>
      </c>
      <c r="AA188" s="10">
        <f t="shared" si="28"/>
        <v>0</v>
      </c>
      <c r="AB188" s="10">
        <f t="shared" si="29"/>
        <v>0</v>
      </c>
      <c r="AC188" s="6">
        <f t="shared" si="30"/>
        <v>18.924120157121525</v>
      </c>
    </row>
    <row r="189" spans="1:29" x14ac:dyDescent="0.25">
      <c r="A189" t="s">
        <v>114</v>
      </c>
      <c r="B189" t="s">
        <v>184</v>
      </c>
      <c r="C189" s="1" t="s">
        <v>7</v>
      </c>
      <c r="D189">
        <v>0</v>
      </c>
      <c r="E189">
        <v>24</v>
      </c>
      <c r="F189">
        <v>0</v>
      </c>
      <c r="G189">
        <v>0</v>
      </c>
      <c r="H189">
        <v>0</v>
      </c>
      <c r="I189" s="1">
        <v>45419</v>
      </c>
      <c r="J189" s="1">
        <v>45443</v>
      </c>
      <c r="K189" s="1">
        <v>45419</v>
      </c>
      <c r="L189" s="1">
        <v>45419</v>
      </c>
      <c r="M189" s="1">
        <v>45419</v>
      </c>
      <c r="N189" s="5">
        <v>76.413643660392609</v>
      </c>
      <c r="P189">
        <v>77.833811039005596</v>
      </c>
      <c r="S189" s="6"/>
      <c r="T189" s="5">
        <f t="shared" si="21"/>
        <v>0</v>
      </c>
      <c r="U189" s="10">
        <f t="shared" si="22"/>
        <v>1.8585259262399179</v>
      </c>
      <c r="V189" s="10">
        <f t="shared" si="23"/>
        <v>0</v>
      </c>
      <c r="W189" s="10">
        <f t="shared" si="24"/>
        <v>0</v>
      </c>
      <c r="X189" s="6">
        <f t="shared" si="25"/>
        <v>0</v>
      </c>
      <c r="Y189" s="5">
        <f t="shared" si="26"/>
        <v>0</v>
      </c>
      <c r="Z189" s="10">
        <f t="shared" si="27"/>
        <v>18.58525926239918</v>
      </c>
      <c r="AA189" s="10">
        <f t="shared" si="28"/>
        <v>0</v>
      </c>
      <c r="AB189" s="10">
        <f t="shared" si="29"/>
        <v>0</v>
      </c>
      <c r="AC189" s="6">
        <f t="shared" si="30"/>
        <v>0</v>
      </c>
    </row>
    <row r="190" spans="1:29" x14ac:dyDescent="0.25">
      <c r="A190" t="s">
        <v>114</v>
      </c>
      <c r="B190" t="s">
        <v>185</v>
      </c>
      <c r="C190" s="1" t="s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 s="1">
        <v>45419</v>
      </c>
      <c r="J190" s="1">
        <v>45419</v>
      </c>
      <c r="K190" s="1">
        <v>45419</v>
      </c>
      <c r="L190" s="1">
        <v>45419</v>
      </c>
      <c r="M190" s="1">
        <v>45419</v>
      </c>
      <c r="N190" s="5"/>
      <c r="S190" s="6"/>
      <c r="T190" s="5">
        <f t="shared" si="21"/>
        <v>0</v>
      </c>
      <c r="U190" s="10">
        <f t="shared" si="22"/>
        <v>0</v>
      </c>
      <c r="V190" s="10">
        <f t="shared" si="23"/>
        <v>0</v>
      </c>
      <c r="W190" s="10">
        <f t="shared" si="24"/>
        <v>0</v>
      </c>
      <c r="X190" s="6">
        <f t="shared" si="25"/>
        <v>0</v>
      </c>
      <c r="Y190" s="5">
        <f t="shared" si="26"/>
        <v>0</v>
      </c>
      <c r="Z190" s="10">
        <f t="shared" si="27"/>
        <v>0</v>
      </c>
      <c r="AA190" s="10">
        <f t="shared" si="28"/>
        <v>0</v>
      </c>
      <c r="AB190" s="10">
        <f t="shared" si="29"/>
        <v>0</v>
      </c>
      <c r="AC190" s="6">
        <f t="shared" si="30"/>
        <v>0</v>
      </c>
    </row>
    <row r="191" spans="1:29" x14ac:dyDescent="0.25">
      <c r="A191" t="s">
        <v>114</v>
      </c>
      <c r="B191" t="s">
        <v>186</v>
      </c>
      <c r="C191" s="1" t="s">
        <v>7</v>
      </c>
      <c r="D191">
        <v>0</v>
      </c>
      <c r="E191">
        <v>0</v>
      </c>
      <c r="F191">
        <v>0</v>
      </c>
      <c r="G191">
        <v>0</v>
      </c>
      <c r="H191">
        <v>0</v>
      </c>
      <c r="I191" s="1">
        <v>45419</v>
      </c>
      <c r="J191" s="1">
        <v>45419</v>
      </c>
      <c r="K191" s="1">
        <v>45419</v>
      </c>
      <c r="L191" s="1">
        <v>45419</v>
      </c>
      <c r="M191" s="1">
        <v>45419</v>
      </c>
      <c r="N191" s="5"/>
      <c r="S191" s="6"/>
      <c r="T191" s="5">
        <f t="shared" si="21"/>
        <v>0</v>
      </c>
      <c r="U191" s="10">
        <f t="shared" si="22"/>
        <v>0</v>
      </c>
      <c r="V191" s="10">
        <f t="shared" si="23"/>
        <v>0</v>
      </c>
      <c r="W191" s="10">
        <f t="shared" si="24"/>
        <v>0</v>
      </c>
      <c r="X191" s="6">
        <f t="shared" si="25"/>
        <v>0</v>
      </c>
      <c r="Y191" s="5">
        <f t="shared" si="26"/>
        <v>0</v>
      </c>
      <c r="Z191" s="10">
        <f t="shared" si="27"/>
        <v>0</v>
      </c>
      <c r="AA191" s="10">
        <f t="shared" si="28"/>
        <v>0</v>
      </c>
      <c r="AB191" s="10">
        <f t="shared" si="29"/>
        <v>0</v>
      </c>
      <c r="AC191" s="6">
        <f t="shared" si="30"/>
        <v>0</v>
      </c>
    </row>
    <row r="192" spans="1:29" x14ac:dyDescent="0.25">
      <c r="A192" t="s">
        <v>114</v>
      </c>
      <c r="B192" t="s">
        <v>187</v>
      </c>
      <c r="C192" s="1" t="s">
        <v>7</v>
      </c>
      <c r="D192">
        <v>0</v>
      </c>
      <c r="E192">
        <v>0</v>
      </c>
      <c r="F192">
        <v>0</v>
      </c>
      <c r="G192">
        <v>38</v>
      </c>
      <c r="H192">
        <v>0</v>
      </c>
      <c r="I192" s="1">
        <v>45419</v>
      </c>
      <c r="J192" s="1">
        <v>45419</v>
      </c>
      <c r="K192" s="1">
        <v>45419</v>
      </c>
      <c r="L192" s="1">
        <v>45457</v>
      </c>
      <c r="M192" s="1">
        <v>45419</v>
      </c>
      <c r="N192" s="5">
        <v>67.15958049761845</v>
      </c>
      <c r="R192">
        <v>61.532747319488649</v>
      </c>
      <c r="S192" s="6"/>
      <c r="T192" s="5">
        <f t="shared" si="21"/>
        <v>0</v>
      </c>
      <c r="U192" s="10">
        <f t="shared" si="22"/>
        <v>0</v>
      </c>
      <c r="V192" s="10">
        <f t="shared" si="23"/>
        <v>0</v>
      </c>
      <c r="W192" s="10">
        <f t="shared" si="24"/>
        <v>-8.3783030454297354</v>
      </c>
      <c r="X192" s="6">
        <f t="shared" si="25"/>
        <v>0</v>
      </c>
      <c r="Y192" s="5">
        <f t="shared" si="26"/>
        <v>0</v>
      </c>
      <c r="Z192" s="10">
        <f t="shared" si="27"/>
        <v>0</v>
      </c>
      <c r="AA192" s="10">
        <f t="shared" si="28"/>
        <v>0</v>
      </c>
      <c r="AB192" s="10">
        <f t="shared" si="29"/>
        <v>-83.783030454297347</v>
      </c>
      <c r="AC192" s="6">
        <f t="shared" si="30"/>
        <v>0</v>
      </c>
    </row>
    <row r="193" spans="1:29" x14ac:dyDescent="0.25">
      <c r="A193" t="s">
        <v>114</v>
      </c>
      <c r="B193" t="s">
        <v>188</v>
      </c>
      <c r="C193" s="1" t="s">
        <v>7</v>
      </c>
      <c r="D193">
        <v>0</v>
      </c>
      <c r="E193">
        <v>0</v>
      </c>
      <c r="F193">
        <v>0</v>
      </c>
      <c r="G193">
        <v>0</v>
      </c>
      <c r="H193">
        <v>0</v>
      </c>
      <c r="I193" s="1">
        <v>45419</v>
      </c>
      <c r="J193" s="1">
        <v>45419</v>
      </c>
      <c r="K193" s="1">
        <v>45419</v>
      </c>
      <c r="L193" s="1">
        <v>45419</v>
      </c>
      <c r="M193" s="1">
        <v>45419</v>
      </c>
      <c r="N193" s="5"/>
      <c r="S193" s="6"/>
      <c r="T193" s="5">
        <f t="shared" si="21"/>
        <v>0</v>
      </c>
      <c r="U193" s="10">
        <f t="shared" si="22"/>
        <v>0</v>
      </c>
      <c r="V193" s="10">
        <f t="shared" si="23"/>
        <v>0</v>
      </c>
      <c r="W193" s="10">
        <f t="shared" si="24"/>
        <v>0</v>
      </c>
      <c r="X193" s="6">
        <f t="shared" si="25"/>
        <v>0</v>
      </c>
      <c r="Y193" s="5">
        <f t="shared" si="26"/>
        <v>0</v>
      </c>
      <c r="Z193" s="10">
        <f t="shared" si="27"/>
        <v>0</v>
      </c>
      <c r="AA193" s="10">
        <f t="shared" si="28"/>
        <v>0</v>
      </c>
      <c r="AB193" s="10">
        <f t="shared" si="29"/>
        <v>0</v>
      </c>
      <c r="AC193" s="6">
        <f t="shared" si="30"/>
        <v>0</v>
      </c>
    </row>
    <row r="194" spans="1:29" x14ac:dyDescent="0.25">
      <c r="A194" t="s">
        <v>114</v>
      </c>
      <c r="B194" t="s">
        <v>189</v>
      </c>
      <c r="C194" s="1" t="s">
        <v>7</v>
      </c>
      <c r="D194">
        <v>0</v>
      </c>
      <c r="E194">
        <v>0</v>
      </c>
      <c r="F194">
        <v>0</v>
      </c>
      <c r="G194">
        <v>0</v>
      </c>
      <c r="H194">
        <v>0</v>
      </c>
      <c r="I194" s="1">
        <v>45419</v>
      </c>
      <c r="J194" s="1">
        <v>45419</v>
      </c>
      <c r="K194" s="1">
        <v>45419</v>
      </c>
      <c r="L194" s="1">
        <v>45419</v>
      </c>
      <c r="M194" s="1">
        <v>45419</v>
      </c>
      <c r="N194" s="5"/>
      <c r="S194" s="6"/>
      <c r="T194" s="5">
        <f t="shared" ref="T194:T257" si="31">IF((ISBLANK(O194)),0,((O194/$N194)-1)*100)</f>
        <v>0</v>
      </c>
      <c r="U194" s="10">
        <f t="shared" ref="U194:U257" si="32">IF((ISBLANK(P194)),0,((P194/$N194)-1)*100)</f>
        <v>0</v>
      </c>
      <c r="V194" s="10">
        <f t="shared" ref="V194:V257" si="33">IF((ISBLANK(Q194)),0,((Q194/$N194)-1)*100)</f>
        <v>0</v>
      </c>
      <c r="W194" s="10">
        <f t="shared" ref="W194:W257" si="34">IF((ISBLANK(R194)),0,((R194/$N194)-1)*100)</f>
        <v>0</v>
      </c>
      <c r="X194" s="6">
        <f t="shared" ref="X194:X257" si="35">IF((ISBLANK(S194)),0,((S194/$N194)-1)*100)</f>
        <v>0</v>
      </c>
      <c r="Y194" s="5">
        <f t="shared" si="26"/>
        <v>0</v>
      </c>
      <c r="Z194" s="10">
        <f t="shared" si="27"/>
        <v>0</v>
      </c>
      <c r="AA194" s="10">
        <f t="shared" si="28"/>
        <v>0</v>
      </c>
      <c r="AB194" s="10">
        <f t="shared" si="29"/>
        <v>0</v>
      </c>
      <c r="AC194" s="6">
        <f t="shared" si="30"/>
        <v>0</v>
      </c>
    </row>
    <row r="195" spans="1:29" x14ac:dyDescent="0.25">
      <c r="A195" t="s">
        <v>114</v>
      </c>
      <c r="B195" t="s">
        <v>190</v>
      </c>
      <c r="C195" s="1" t="s">
        <v>7</v>
      </c>
      <c r="D195">
        <v>0</v>
      </c>
      <c r="E195">
        <v>0</v>
      </c>
      <c r="F195">
        <v>0</v>
      </c>
      <c r="G195">
        <v>0</v>
      </c>
      <c r="H195">
        <v>0</v>
      </c>
      <c r="I195" s="1">
        <v>45419</v>
      </c>
      <c r="J195" s="1">
        <v>45419</v>
      </c>
      <c r="K195" s="1">
        <v>45419</v>
      </c>
      <c r="L195" s="1">
        <v>45419</v>
      </c>
      <c r="M195" s="1">
        <v>45419</v>
      </c>
      <c r="N195" s="5"/>
      <c r="S195" s="6"/>
      <c r="T195" s="5">
        <f t="shared" si="31"/>
        <v>0</v>
      </c>
      <c r="U195" s="10">
        <f t="shared" si="32"/>
        <v>0</v>
      </c>
      <c r="V195" s="10">
        <f t="shared" si="33"/>
        <v>0</v>
      </c>
      <c r="W195" s="10">
        <f t="shared" si="34"/>
        <v>0</v>
      </c>
      <c r="X195" s="6">
        <f t="shared" si="35"/>
        <v>0</v>
      </c>
      <c r="Y195" s="5">
        <f t="shared" ref="Y195:Y258" si="36">1000 * T195/100</f>
        <v>0</v>
      </c>
      <c r="Z195" s="10">
        <f t="shared" ref="Z195:Z258" si="37">1000 * U195/100</f>
        <v>0</v>
      </c>
      <c r="AA195" s="10">
        <f t="shared" ref="AA195:AA258" si="38">1000 * V195/100</f>
        <v>0</v>
      </c>
      <c r="AB195" s="10">
        <f t="shared" ref="AB195:AB258" si="39">1000 * W195/100</f>
        <v>0</v>
      </c>
      <c r="AC195" s="6">
        <f t="shared" ref="AC195:AC258" si="40">1000 * X195/100</f>
        <v>0</v>
      </c>
    </row>
    <row r="196" spans="1:29" x14ac:dyDescent="0.25">
      <c r="A196" t="s">
        <v>114</v>
      </c>
      <c r="B196" t="s">
        <v>122</v>
      </c>
      <c r="C196" s="1" t="s">
        <v>7</v>
      </c>
      <c r="D196">
        <v>0</v>
      </c>
      <c r="E196">
        <v>0</v>
      </c>
      <c r="F196">
        <v>0</v>
      </c>
      <c r="G196">
        <v>0</v>
      </c>
      <c r="H196">
        <v>0</v>
      </c>
      <c r="I196" s="1">
        <v>45419</v>
      </c>
      <c r="J196" s="1">
        <v>45419</v>
      </c>
      <c r="K196" s="1">
        <v>45419</v>
      </c>
      <c r="L196" s="1">
        <v>45419</v>
      </c>
      <c r="M196" s="1">
        <v>45419</v>
      </c>
      <c r="N196" s="5"/>
      <c r="S196" s="6"/>
      <c r="T196" s="5">
        <f t="shared" si="31"/>
        <v>0</v>
      </c>
      <c r="U196" s="10">
        <f t="shared" si="32"/>
        <v>0</v>
      </c>
      <c r="V196" s="10">
        <f t="shared" si="33"/>
        <v>0</v>
      </c>
      <c r="W196" s="10">
        <f t="shared" si="34"/>
        <v>0</v>
      </c>
      <c r="X196" s="6">
        <f t="shared" si="35"/>
        <v>0</v>
      </c>
      <c r="Y196" s="5">
        <f t="shared" si="36"/>
        <v>0</v>
      </c>
      <c r="Z196" s="10">
        <f t="shared" si="37"/>
        <v>0</v>
      </c>
      <c r="AA196" s="10">
        <f t="shared" si="38"/>
        <v>0</v>
      </c>
      <c r="AB196" s="10">
        <f t="shared" si="39"/>
        <v>0</v>
      </c>
      <c r="AC196" s="6">
        <f t="shared" si="40"/>
        <v>0</v>
      </c>
    </row>
    <row r="197" spans="1:29" x14ac:dyDescent="0.25">
      <c r="A197" t="s">
        <v>114</v>
      </c>
      <c r="B197" t="s">
        <v>191</v>
      </c>
      <c r="C197" s="1" t="s">
        <v>7</v>
      </c>
      <c r="D197">
        <v>0</v>
      </c>
      <c r="E197">
        <v>0</v>
      </c>
      <c r="F197">
        <v>0</v>
      </c>
      <c r="G197">
        <v>0</v>
      </c>
      <c r="H197">
        <v>0</v>
      </c>
      <c r="I197" s="1">
        <v>45419</v>
      </c>
      <c r="J197" s="1">
        <v>45419</v>
      </c>
      <c r="K197" s="1">
        <v>45419</v>
      </c>
      <c r="L197" s="1">
        <v>45419</v>
      </c>
      <c r="M197" s="1">
        <v>45419</v>
      </c>
      <c r="N197" s="5"/>
      <c r="S197" s="6"/>
      <c r="T197" s="5">
        <f t="shared" si="31"/>
        <v>0</v>
      </c>
      <c r="U197" s="10">
        <f t="shared" si="32"/>
        <v>0</v>
      </c>
      <c r="V197" s="10">
        <f t="shared" si="33"/>
        <v>0</v>
      </c>
      <c r="W197" s="10">
        <f t="shared" si="34"/>
        <v>0</v>
      </c>
      <c r="X197" s="6">
        <f t="shared" si="35"/>
        <v>0</v>
      </c>
      <c r="Y197" s="5">
        <f t="shared" si="36"/>
        <v>0</v>
      </c>
      <c r="Z197" s="10">
        <f t="shared" si="37"/>
        <v>0</v>
      </c>
      <c r="AA197" s="10">
        <f t="shared" si="38"/>
        <v>0</v>
      </c>
      <c r="AB197" s="10">
        <f t="shared" si="39"/>
        <v>0</v>
      </c>
      <c r="AC197" s="6">
        <f t="shared" si="40"/>
        <v>0</v>
      </c>
    </row>
    <row r="198" spans="1:29" x14ac:dyDescent="0.25">
      <c r="A198" t="s">
        <v>114</v>
      </c>
      <c r="B198" t="s">
        <v>49</v>
      </c>
      <c r="C198" s="1" t="s">
        <v>7</v>
      </c>
      <c r="D198">
        <v>0</v>
      </c>
      <c r="E198">
        <v>0</v>
      </c>
      <c r="F198">
        <v>0</v>
      </c>
      <c r="G198">
        <v>0</v>
      </c>
      <c r="H198">
        <v>0</v>
      </c>
      <c r="I198" s="1">
        <v>45419</v>
      </c>
      <c r="J198" s="1">
        <v>45419</v>
      </c>
      <c r="K198" s="1">
        <v>45419</v>
      </c>
      <c r="L198" s="1">
        <v>45419</v>
      </c>
      <c r="M198" s="1">
        <v>45419</v>
      </c>
      <c r="N198" s="5"/>
      <c r="S198" s="6"/>
      <c r="T198" s="5">
        <f t="shared" si="31"/>
        <v>0</v>
      </c>
      <c r="U198" s="10">
        <f t="shared" si="32"/>
        <v>0</v>
      </c>
      <c r="V198" s="10">
        <f t="shared" si="33"/>
        <v>0</v>
      </c>
      <c r="W198" s="10">
        <f t="shared" si="34"/>
        <v>0</v>
      </c>
      <c r="X198" s="6">
        <f t="shared" si="35"/>
        <v>0</v>
      </c>
      <c r="Y198" s="5">
        <f t="shared" si="36"/>
        <v>0</v>
      </c>
      <c r="Z198" s="10">
        <f t="shared" si="37"/>
        <v>0</v>
      </c>
      <c r="AA198" s="10">
        <f t="shared" si="38"/>
        <v>0</v>
      </c>
      <c r="AB198" s="10">
        <f t="shared" si="39"/>
        <v>0</v>
      </c>
      <c r="AC198" s="6">
        <f t="shared" si="40"/>
        <v>0</v>
      </c>
    </row>
    <row r="199" spans="1:29" x14ac:dyDescent="0.25">
      <c r="A199" t="s">
        <v>114</v>
      </c>
      <c r="B199" t="s">
        <v>192</v>
      </c>
      <c r="C199" s="1" t="s">
        <v>7</v>
      </c>
      <c r="D199">
        <v>0</v>
      </c>
      <c r="E199">
        <v>0</v>
      </c>
      <c r="F199">
        <v>0</v>
      </c>
      <c r="G199">
        <v>0</v>
      </c>
      <c r="H199">
        <v>0</v>
      </c>
      <c r="I199" s="1">
        <v>45419</v>
      </c>
      <c r="J199" s="1">
        <v>45419</v>
      </c>
      <c r="K199" s="1">
        <v>45419</v>
      </c>
      <c r="L199" s="1">
        <v>45419</v>
      </c>
      <c r="M199" s="1">
        <v>45419</v>
      </c>
      <c r="N199" s="5"/>
      <c r="S199" s="6"/>
      <c r="T199" s="5">
        <f t="shared" si="31"/>
        <v>0</v>
      </c>
      <c r="U199" s="10">
        <f t="shared" si="32"/>
        <v>0</v>
      </c>
      <c r="V199" s="10">
        <f t="shared" si="33"/>
        <v>0</v>
      </c>
      <c r="W199" s="10">
        <f t="shared" si="34"/>
        <v>0</v>
      </c>
      <c r="X199" s="6">
        <f t="shared" si="35"/>
        <v>0</v>
      </c>
      <c r="Y199" s="5">
        <f t="shared" si="36"/>
        <v>0</v>
      </c>
      <c r="Z199" s="10">
        <f t="shared" si="37"/>
        <v>0</v>
      </c>
      <c r="AA199" s="10">
        <f t="shared" si="38"/>
        <v>0</v>
      </c>
      <c r="AB199" s="10">
        <f t="shared" si="39"/>
        <v>0</v>
      </c>
      <c r="AC199" s="6">
        <f t="shared" si="40"/>
        <v>0</v>
      </c>
    </row>
    <row r="200" spans="1:29" x14ac:dyDescent="0.25">
      <c r="A200" t="s">
        <v>114</v>
      </c>
      <c r="B200" t="s">
        <v>193</v>
      </c>
      <c r="C200" s="1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 s="1">
        <v>45419</v>
      </c>
      <c r="J200" s="1">
        <v>45419</v>
      </c>
      <c r="K200" s="1">
        <v>45419</v>
      </c>
      <c r="L200" s="1">
        <v>45419</v>
      </c>
      <c r="M200" s="1">
        <v>45419</v>
      </c>
      <c r="N200" s="5"/>
      <c r="S200" s="6"/>
      <c r="T200" s="5">
        <f t="shared" si="31"/>
        <v>0</v>
      </c>
      <c r="U200" s="10">
        <f t="shared" si="32"/>
        <v>0</v>
      </c>
      <c r="V200" s="10">
        <f t="shared" si="33"/>
        <v>0</v>
      </c>
      <c r="W200" s="10">
        <f t="shared" si="34"/>
        <v>0</v>
      </c>
      <c r="X200" s="6">
        <f t="shared" si="35"/>
        <v>0</v>
      </c>
      <c r="Y200" s="5">
        <f t="shared" si="36"/>
        <v>0</v>
      </c>
      <c r="Z200" s="10">
        <f t="shared" si="37"/>
        <v>0</v>
      </c>
      <c r="AA200" s="10">
        <f t="shared" si="38"/>
        <v>0</v>
      </c>
      <c r="AB200" s="10">
        <f t="shared" si="39"/>
        <v>0</v>
      </c>
      <c r="AC200" s="6">
        <f t="shared" si="40"/>
        <v>0</v>
      </c>
    </row>
    <row r="201" spans="1:29" x14ac:dyDescent="0.25">
      <c r="A201" t="s">
        <v>114</v>
      </c>
      <c r="B201" t="s">
        <v>194</v>
      </c>
      <c r="C201" s="1" t="s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 s="1">
        <v>45419</v>
      </c>
      <c r="J201" s="1">
        <v>45419</v>
      </c>
      <c r="K201" s="1">
        <v>45419</v>
      </c>
      <c r="L201" s="1">
        <v>45419</v>
      </c>
      <c r="M201" s="1">
        <v>45419</v>
      </c>
      <c r="N201" s="5"/>
      <c r="S201" s="6"/>
      <c r="T201" s="5">
        <f t="shared" si="31"/>
        <v>0</v>
      </c>
      <c r="U201" s="10">
        <f t="shared" si="32"/>
        <v>0</v>
      </c>
      <c r="V201" s="10">
        <f t="shared" si="33"/>
        <v>0</v>
      </c>
      <c r="W201" s="10">
        <f t="shared" si="34"/>
        <v>0</v>
      </c>
      <c r="X201" s="6">
        <f t="shared" si="35"/>
        <v>0</v>
      </c>
      <c r="Y201" s="5">
        <f t="shared" si="36"/>
        <v>0</v>
      </c>
      <c r="Z201" s="10">
        <f t="shared" si="37"/>
        <v>0</v>
      </c>
      <c r="AA201" s="10">
        <f t="shared" si="38"/>
        <v>0</v>
      </c>
      <c r="AB201" s="10">
        <f t="shared" si="39"/>
        <v>0</v>
      </c>
      <c r="AC201" s="6">
        <f t="shared" si="40"/>
        <v>0</v>
      </c>
    </row>
    <row r="202" spans="1:29" x14ac:dyDescent="0.25">
      <c r="A202" t="s">
        <v>114</v>
      </c>
      <c r="B202" t="s">
        <v>195</v>
      </c>
      <c r="C202" s="1" t="s">
        <v>7</v>
      </c>
      <c r="D202">
        <v>0</v>
      </c>
      <c r="E202">
        <v>0</v>
      </c>
      <c r="F202">
        <v>0</v>
      </c>
      <c r="G202">
        <v>0</v>
      </c>
      <c r="H202">
        <v>0</v>
      </c>
      <c r="I202" s="1">
        <v>45419</v>
      </c>
      <c r="J202" s="1">
        <v>45419</v>
      </c>
      <c r="K202" s="1">
        <v>45419</v>
      </c>
      <c r="L202" s="1">
        <v>45419</v>
      </c>
      <c r="M202" s="1">
        <v>45419</v>
      </c>
      <c r="N202" s="5"/>
      <c r="S202" s="6"/>
      <c r="T202" s="5">
        <f t="shared" si="31"/>
        <v>0</v>
      </c>
      <c r="U202" s="10">
        <f t="shared" si="32"/>
        <v>0</v>
      </c>
      <c r="V202" s="10">
        <f t="shared" si="33"/>
        <v>0</v>
      </c>
      <c r="W202" s="10">
        <f t="shared" si="34"/>
        <v>0</v>
      </c>
      <c r="X202" s="6">
        <f t="shared" si="35"/>
        <v>0</v>
      </c>
      <c r="Y202" s="5">
        <f t="shared" si="36"/>
        <v>0</v>
      </c>
      <c r="Z202" s="10">
        <f t="shared" si="37"/>
        <v>0</v>
      </c>
      <c r="AA202" s="10">
        <f t="shared" si="38"/>
        <v>0</v>
      </c>
      <c r="AB202" s="10">
        <f t="shared" si="39"/>
        <v>0</v>
      </c>
      <c r="AC202" s="6">
        <f t="shared" si="40"/>
        <v>0</v>
      </c>
    </row>
    <row r="203" spans="1:29" x14ac:dyDescent="0.25">
      <c r="A203" t="s">
        <v>114</v>
      </c>
      <c r="B203" t="s">
        <v>196</v>
      </c>
      <c r="C203" s="1" t="s">
        <v>7</v>
      </c>
      <c r="D203">
        <v>0</v>
      </c>
      <c r="E203">
        <v>24</v>
      </c>
      <c r="F203">
        <v>38</v>
      </c>
      <c r="G203">
        <v>0</v>
      </c>
      <c r="H203">
        <v>0</v>
      </c>
      <c r="I203" s="1">
        <v>45419</v>
      </c>
      <c r="J203" s="1">
        <v>45443</v>
      </c>
      <c r="K203" s="1">
        <v>45457</v>
      </c>
      <c r="L203" s="1">
        <v>45419</v>
      </c>
      <c r="M203" s="1">
        <v>45419</v>
      </c>
      <c r="N203" s="5">
        <v>30.894020047360961</v>
      </c>
      <c r="P203">
        <v>30.019567311756511</v>
      </c>
      <c r="Q203">
        <v>30.188496381928822</v>
      </c>
      <c r="S203" s="6"/>
      <c r="T203" s="5">
        <f t="shared" si="31"/>
        <v>0</v>
      </c>
      <c r="U203" s="10">
        <f t="shared" si="32"/>
        <v>-2.8304919018758423</v>
      </c>
      <c r="V203" s="10">
        <f t="shared" si="33"/>
        <v>-2.2836900615412326</v>
      </c>
      <c r="W203" s="10">
        <f t="shared" si="34"/>
        <v>0</v>
      </c>
      <c r="X203" s="6">
        <f t="shared" si="35"/>
        <v>0</v>
      </c>
      <c r="Y203" s="5">
        <f t="shared" si="36"/>
        <v>0</v>
      </c>
      <c r="Z203" s="10">
        <f t="shared" si="37"/>
        <v>-28.304919018758422</v>
      </c>
      <c r="AA203" s="10">
        <f t="shared" si="38"/>
        <v>-22.836900615412322</v>
      </c>
      <c r="AB203" s="10">
        <f t="shared" si="39"/>
        <v>0</v>
      </c>
      <c r="AC203" s="6">
        <f t="shared" si="40"/>
        <v>0</v>
      </c>
    </row>
    <row r="204" spans="1:29" x14ac:dyDescent="0.25">
      <c r="A204" t="s">
        <v>114</v>
      </c>
      <c r="B204" t="s">
        <v>117</v>
      </c>
      <c r="C204" s="1" t="s">
        <v>7</v>
      </c>
      <c r="D204">
        <v>0</v>
      </c>
      <c r="E204">
        <v>0</v>
      </c>
      <c r="F204">
        <v>0</v>
      </c>
      <c r="G204">
        <v>0</v>
      </c>
      <c r="H204">
        <v>0</v>
      </c>
      <c r="I204" s="1">
        <v>45419</v>
      </c>
      <c r="J204" s="1">
        <v>45419</v>
      </c>
      <c r="K204" s="1">
        <v>45419</v>
      </c>
      <c r="L204" s="1">
        <v>45419</v>
      </c>
      <c r="M204" s="1">
        <v>45419</v>
      </c>
      <c r="N204" s="5"/>
      <c r="S204" s="6"/>
      <c r="T204" s="5">
        <f t="shared" si="31"/>
        <v>0</v>
      </c>
      <c r="U204" s="10">
        <f t="shared" si="32"/>
        <v>0</v>
      </c>
      <c r="V204" s="10">
        <f t="shared" si="33"/>
        <v>0</v>
      </c>
      <c r="W204" s="10">
        <f t="shared" si="34"/>
        <v>0</v>
      </c>
      <c r="X204" s="6">
        <f t="shared" si="35"/>
        <v>0</v>
      </c>
      <c r="Y204" s="5">
        <f t="shared" si="36"/>
        <v>0</v>
      </c>
      <c r="Z204" s="10">
        <f t="shared" si="37"/>
        <v>0</v>
      </c>
      <c r="AA204" s="10">
        <f t="shared" si="38"/>
        <v>0</v>
      </c>
      <c r="AB204" s="10">
        <f t="shared" si="39"/>
        <v>0</v>
      </c>
      <c r="AC204" s="6">
        <f t="shared" si="40"/>
        <v>0</v>
      </c>
    </row>
    <row r="205" spans="1:29" x14ac:dyDescent="0.25">
      <c r="A205" t="s">
        <v>114</v>
      </c>
      <c r="B205" t="s">
        <v>55</v>
      </c>
      <c r="C205" s="1" t="s">
        <v>7</v>
      </c>
      <c r="D205">
        <v>0</v>
      </c>
      <c r="E205">
        <v>0</v>
      </c>
      <c r="F205">
        <v>0</v>
      </c>
      <c r="G205">
        <v>0</v>
      </c>
      <c r="H205">
        <v>0</v>
      </c>
      <c r="I205" s="1">
        <v>45419</v>
      </c>
      <c r="J205" s="1">
        <v>45419</v>
      </c>
      <c r="K205" s="1">
        <v>45419</v>
      </c>
      <c r="L205" s="1">
        <v>45419</v>
      </c>
      <c r="M205" s="1">
        <v>45419</v>
      </c>
      <c r="N205" s="5"/>
      <c r="S205" s="6"/>
      <c r="T205" s="5">
        <f t="shared" si="31"/>
        <v>0</v>
      </c>
      <c r="U205" s="10">
        <f t="shared" si="32"/>
        <v>0</v>
      </c>
      <c r="V205" s="10">
        <f t="shared" si="33"/>
        <v>0</v>
      </c>
      <c r="W205" s="10">
        <f t="shared" si="34"/>
        <v>0</v>
      </c>
      <c r="X205" s="6">
        <f t="shared" si="35"/>
        <v>0</v>
      </c>
      <c r="Y205" s="5">
        <f t="shared" si="36"/>
        <v>0</v>
      </c>
      <c r="Z205" s="10">
        <f t="shared" si="37"/>
        <v>0</v>
      </c>
      <c r="AA205" s="10">
        <f t="shared" si="38"/>
        <v>0</v>
      </c>
      <c r="AB205" s="10">
        <f t="shared" si="39"/>
        <v>0</v>
      </c>
      <c r="AC205" s="6">
        <f t="shared" si="40"/>
        <v>0</v>
      </c>
    </row>
    <row r="206" spans="1:29" x14ac:dyDescent="0.25">
      <c r="A206" t="s">
        <v>114</v>
      </c>
      <c r="B206" t="s">
        <v>42</v>
      </c>
      <c r="C206" s="1" t="s">
        <v>7</v>
      </c>
      <c r="D206">
        <v>0</v>
      </c>
      <c r="E206">
        <v>0</v>
      </c>
      <c r="F206">
        <v>0</v>
      </c>
      <c r="G206">
        <v>0</v>
      </c>
      <c r="H206">
        <v>0</v>
      </c>
      <c r="I206" s="1">
        <v>45419</v>
      </c>
      <c r="J206" s="1">
        <v>45419</v>
      </c>
      <c r="K206" s="1">
        <v>45419</v>
      </c>
      <c r="L206" s="1">
        <v>45419</v>
      </c>
      <c r="M206" s="1">
        <v>45419</v>
      </c>
      <c r="N206" s="5"/>
      <c r="S206" s="6"/>
      <c r="T206" s="5">
        <f t="shared" si="31"/>
        <v>0</v>
      </c>
      <c r="U206" s="10">
        <f t="shared" si="32"/>
        <v>0</v>
      </c>
      <c r="V206" s="10">
        <f t="shared" si="33"/>
        <v>0</v>
      </c>
      <c r="W206" s="10">
        <f t="shared" si="34"/>
        <v>0</v>
      </c>
      <c r="X206" s="6">
        <f t="shared" si="35"/>
        <v>0</v>
      </c>
      <c r="Y206" s="5">
        <f t="shared" si="36"/>
        <v>0</v>
      </c>
      <c r="Z206" s="10">
        <f t="shared" si="37"/>
        <v>0</v>
      </c>
      <c r="AA206" s="10">
        <f t="shared" si="38"/>
        <v>0</v>
      </c>
      <c r="AB206" s="10">
        <f t="shared" si="39"/>
        <v>0</v>
      </c>
      <c r="AC206" s="6">
        <f t="shared" si="40"/>
        <v>0</v>
      </c>
    </row>
    <row r="207" spans="1:29" x14ac:dyDescent="0.25">
      <c r="A207" t="s">
        <v>114</v>
      </c>
      <c r="B207" t="s">
        <v>197</v>
      </c>
      <c r="C207" s="1" t="s">
        <v>7</v>
      </c>
      <c r="D207">
        <v>0</v>
      </c>
      <c r="E207">
        <v>0</v>
      </c>
      <c r="F207">
        <v>0</v>
      </c>
      <c r="G207">
        <v>0</v>
      </c>
      <c r="H207">
        <v>0</v>
      </c>
      <c r="I207" s="1">
        <v>45419</v>
      </c>
      <c r="J207" s="1">
        <v>45419</v>
      </c>
      <c r="K207" s="1">
        <v>45419</v>
      </c>
      <c r="L207" s="1">
        <v>45419</v>
      </c>
      <c r="M207" s="1">
        <v>45419</v>
      </c>
      <c r="N207" s="5"/>
      <c r="S207" s="6"/>
      <c r="T207" s="5">
        <f t="shared" si="31"/>
        <v>0</v>
      </c>
      <c r="U207" s="10">
        <f t="shared" si="32"/>
        <v>0</v>
      </c>
      <c r="V207" s="10">
        <f t="shared" si="33"/>
        <v>0</v>
      </c>
      <c r="W207" s="10">
        <f t="shared" si="34"/>
        <v>0</v>
      </c>
      <c r="X207" s="6">
        <f t="shared" si="35"/>
        <v>0</v>
      </c>
      <c r="Y207" s="5">
        <f t="shared" si="36"/>
        <v>0</v>
      </c>
      <c r="Z207" s="10">
        <f t="shared" si="37"/>
        <v>0</v>
      </c>
      <c r="AA207" s="10">
        <f t="shared" si="38"/>
        <v>0</v>
      </c>
      <c r="AB207" s="10">
        <f t="shared" si="39"/>
        <v>0</v>
      </c>
      <c r="AC207" s="6">
        <f t="shared" si="40"/>
        <v>0</v>
      </c>
    </row>
    <row r="208" spans="1:29" x14ac:dyDescent="0.25">
      <c r="A208" t="s">
        <v>114</v>
      </c>
      <c r="B208" t="s">
        <v>198</v>
      </c>
      <c r="C208" s="1" t="s">
        <v>7</v>
      </c>
      <c r="D208">
        <v>0</v>
      </c>
      <c r="E208">
        <v>0</v>
      </c>
      <c r="F208">
        <v>0</v>
      </c>
      <c r="G208">
        <v>0</v>
      </c>
      <c r="H208">
        <v>0</v>
      </c>
      <c r="I208" s="1">
        <v>45419</v>
      </c>
      <c r="J208" s="1">
        <v>45419</v>
      </c>
      <c r="K208" s="1">
        <v>45419</v>
      </c>
      <c r="L208" s="1">
        <v>45419</v>
      </c>
      <c r="M208" s="1">
        <v>45419</v>
      </c>
      <c r="N208" s="5"/>
      <c r="S208" s="6"/>
      <c r="T208" s="5">
        <f t="shared" si="31"/>
        <v>0</v>
      </c>
      <c r="U208" s="10">
        <f t="shared" si="32"/>
        <v>0</v>
      </c>
      <c r="V208" s="10">
        <f t="shared" si="33"/>
        <v>0</v>
      </c>
      <c r="W208" s="10">
        <f t="shared" si="34"/>
        <v>0</v>
      </c>
      <c r="X208" s="6">
        <f t="shared" si="35"/>
        <v>0</v>
      </c>
      <c r="Y208" s="5">
        <f t="shared" si="36"/>
        <v>0</v>
      </c>
      <c r="Z208" s="10">
        <f t="shared" si="37"/>
        <v>0</v>
      </c>
      <c r="AA208" s="10">
        <f t="shared" si="38"/>
        <v>0</v>
      </c>
      <c r="AB208" s="10">
        <f t="shared" si="39"/>
        <v>0</v>
      </c>
      <c r="AC208" s="6">
        <f t="shared" si="40"/>
        <v>0</v>
      </c>
    </row>
    <row r="209" spans="1:29" x14ac:dyDescent="0.25">
      <c r="A209" t="s">
        <v>114</v>
      </c>
      <c r="B209" t="s">
        <v>199</v>
      </c>
      <c r="C209" s="1" t="s">
        <v>7</v>
      </c>
      <c r="D209">
        <v>0</v>
      </c>
      <c r="E209">
        <v>37</v>
      </c>
      <c r="F209">
        <v>0</v>
      </c>
      <c r="G209">
        <v>0</v>
      </c>
      <c r="H209">
        <v>0</v>
      </c>
      <c r="I209" s="1">
        <v>45419</v>
      </c>
      <c r="J209" s="1">
        <v>45456</v>
      </c>
      <c r="K209" s="1">
        <v>45419</v>
      </c>
      <c r="L209" s="1">
        <v>45419</v>
      </c>
      <c r="M209" s="1">
        <v>45419</v>
      </c>
      <c r="N209" s="5">
        <v>680.42545677943156</v>
      </c>
      <c r="P209">
        <v>758.9447991416979</v>
      </c>
      <c r="S209" s="6"/>
      <c r="T209" s="5">
        <f t="shared" si="31"/>
        <v>0</v>
      </c>
      <c r="U209" s="10">
        <f t="shared" si="32"/>
        <v>11.539742021692078</v>
      </c>
      <c r="V209" s="10">
        <f t="shared" si="33"/>
        <v>0</v>
      </c>
      <c r="W209" s="10">
        <f t="shared" si="34"/>
        <v>0</v>
      </c>
      <c r="X209" s="6">
        <f t="shared" si="35"/>
        <v>0</v>
      </c>
      <c r="Y209" s="5">
        <f t="shared" si="36"/>
        <v>0</v>
      </c>
      <c r="Z209" s="10">
        <f t="shared" si="37"/>
        <v>115.39742021692078</v>
      </c>
      <c r="AA209" s="10">
        <f t="shared" si="38"/>
        <v>0</v>
      </c>
      <c r="AB209" s="10">
        <f t="shared" si="39"/>
        <v>0</v>
      </c>
      <c r="AC209" s="6">
        <f t="shared" si="40"/>
        <v>0</v>
      </c>
    </row>
    <row r="210" spans="1:29" x14ac:dyDescent="0.25">
      <c r="A210" t="s">
        <v>114</v>
      </c>
      <c r="B210" t="s">
        <v>200</v>
      </c>
      <c r="C210" s="1" t="s">
        <v>7</v>
      </c>
      <c r="D210">
        <v>0</v>
      </c>
      <c r="E210">
        <v>0</v>
      </c>
      <c r="F210">
        <v>0</v>
      </c>
      <c r="G210">
        <v>0</v>
      </c>
      <c r="H210">
        <v>0</v>
      </c>
      <c r="I210" s="1">
        <v>45419</v>
      </c>
      <c r="J210" s="1">
        <v>45419</v>
      </c>
      <c r="K210" s="1">
        <v>45419</v>
      </c>
      <c r="L210" s="1">
        <v>45419</v>
      </c>
      <c r="M210" s="1">
        <v>45419</v>
      </c>
      <c r="N210" s="5"/>
      <c r="S210" s="6"/>
      <c r="T210" s="5">
        <f t="shared" si="31"/>
        <v>0</v>
      </c>
      <c r="U210" s="10">
        <f t="shared" si="32"/>
        <v>0</v>
      </c>
      <c r="V210" s="10">
        <f t="shared" si="33"/>
        <v>0</v>
      </c>
      <c r="W210" s="10">
        <f t="shared" si="34"/>
        <v>0</v>
      </c>
      <c r="X210" s="6">
        <f t="shared" si="35"/>
        <v>0</v>
      </c>
      <c r="Y210" s="5">
        <f t="shared" si="36"/>
        <v>0</v>
      </c>
      <c r="Z210" s="10">
        <f t="shared" si="37"/>
        <v>0</v>
      </c>
      <c r="AA210" s="10">
        <f t="shared" si="38"/>
        <v>0</v>
      </c>
      <c r="AB210" s="10">
        <f t="shared" si="39"/>
        <v>0</v>
      </c>
      <c r="AC210" s="6">
        <f t="shared" si="40"/>
        <v>0</v>
      </c>
    </row>
    <row r="211" spans="1:29" x14ac:dyDescent="0.25">
      <c r="A211" t="s">
        <v>114</v>
      </c>
      <c r="B211" t="s">
        <v>201</v>
      </c>
      <c r="C211" s="1" t="s">
        <v>7</v>
      </c>
      <c r="D211">
        <v>0</v>
      </c>
      <c r="E211">
        <v>0</v>
      </c>
      <c r="F211">
        <v>0</v>
      </c>
      <c r="G211">
        <v>0</v>
      </c>
      <c r="H211">
        <v>0</v>
      </c>
      <c r="I211" s="1">
        <v>45419</v>
      </c>
      <c r="J211" s="1">
        <v>45419</v>
      </c>
      <c r="K211" s="1">
        <v>45419</v>
      </c>
      <c r="L211" s="1">
        <v>45419</v>
      </c>
      <c r="M211" s="1">
        <v>45419</v>
      </c>
      <c r="N211" s="5"/>
      <c r="S211" s="6"/>
      <c r="T211" s="5">
        <f t="shared" si="31"/>
        <v>0</v>
      </c>
      <c r="U211" s="10">
        <f t="shared" si="32"/>
        <v>0</v>
      </c>
      <c r="V211" s="10">
        <f t="shared" si="33"/>
        <v>0</v>
      </c>
      <c r="W211" s="10">
        <f t="shared" si="34"/>
        <v>0</v>
      </c>
      <c r="X211" s="6">
        <f t="shared" si="35"/>
        <v>0</v>
      </c>
      <c r="Y211" s="5">
        <f t="shared" si="36"/>
        <v>0</v>
      </c>
      <c r="Z211" s="10">
        <f t="shared" si="37"/>
        <v>0</v>
      </c>
      <c r="AA211" s="10">
        <f t="shared" si="38"/>
        <v>0</v>
      </c>
      <c r="AB211" s="10">
        <f t="shared" si="39"/>
        <v>0</v>
      </c>
      <c r="AC211" s="6">
        <f t="shared" si="40"/>
        <v>0</v>
      </c>
    </row>
    <row r="212" spans="1:29" x14ac:dyDescent="0.25">
      <c r="A212" t="s">
        <v>114</v>
      </c>
      <c r="B212" t="s">
        <v>202</v>
      </c>
      <c r="C212" s="1" t="s">
        <v>7</v>
      </c>
      <c r="D212">
        <v>0</v>
      </c>
      <c r="E212">
        <v>0</v>
      </c>
      <c r="F212">
        <v>0</v>
      </c>
      <c r="G212">
        <v>0</v>
      </c>
      <c r="H212">
        <v>0</v>
      </c>
      <c r="I212" s="1">
        <v>45419</v>
      </c>
      <c r="J212" s="1">
        <v>45419</v>
      </c>
      <c r="K212" s="1">
        <v>45419</v>
      </c>
      <c r="L212" s="1">
        <v>45419</v>
      </c>
      <c r="M212" s="1">
        <v>45419</v>
      </c>
      <c r="N212" s="5"/>
      <c r="S212" s="6"/>
      <c r="T212" s="5">
        <f t="shared" si="31"/>
        <v>0</v>
      </c>
      <c r="U212" s="10">
        <f t="shared" si="32"/>
        <v>0</v>
      </c>
      <c r="V212" s="10">
        <f t="shared" si="33"/>
        <v>0</v>
      </c>
      <c r="W212" s="10">
        <f t="shared" si="34"/>
        <v>0</v>
      </c>
      <c r="X212" s="6">
        <f t="shared" si="35"/>
        <v>0</v>
      </c>
      <c r="Y212" s="5">
        <f t="shared" si="36"/>
        <v>0</v>
      </c>
      <c r="Z212" s="10">
        <f t="shared" si="37"/>
        <v>0</v>
      </c>
      <c r="AA212" s="10">
        <f t="shared" si="38"/>
        <v>0</v>
      </c>
      <c r="AB212" s="10">
        <f t="shared" si="39"/>
        <v>0</v>
      </c>
      <c r="AC212" s="6">
        <f t="shared" si="40"/>
        <v>0</v>
      </c>
    </row>
    <row r="213" spans="1:29" x14ac:dyDescent="0.25">
      <c r="A213" t="s">
        <v>114</v>
      </c>
      <c r="B213" t="s">
        <v>43</v>
      </c>
      <c r="C213" s="1" t="s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 s="1">
        <v>45419</v>
      </c>
      <c r="J213" s="1">
        <v>45419</v>
      </c>
      <c r="K213" s="1">
        <v>45419</v>
      </c>
      <c r="L213" s="1">
        <v>45419</v>
      </c>
      <c r="M213" s="1">
        <v>45419</v>
      </c>
      <c r="N213" s="5"/>
      <c r="S213" s="6"/>
      <c r="T213" s="5">
        <f t="shared" si="31"/>
        <v>0</v>
      </c>
      <c r="U213" s="10">
        <f t="shared" si="32"/>
        <v>0</v>
      </c>
      <c r="V213" s="10">
        <f t="shared" si="33"/>
        <v>0</v>
      </c>
      <c r="W213" s="10">
        <f t="shared" si="34"/>
        <v>0</v>
      </c>
      <c r="X213" s="6">
        <f t="shared" si="35"/>
        <v>0</v>
      </c>
      <c r="Y213" s="5">
        <f t="shared" si="36"/>
        <v>0</v>
      </c>
      <c r="Z213" s="10">
        <f t="shared" si="37"/>
        <v>0</v>
      </c>
      <c r="AA213" s="10">
        <f t="shared" si="38"/>
        <v>0</v>
      </c>
      <c r="AB213" s="10">
        <f t="shared" si="39"/>
        <v>0</v>
      </c>
      <c r="AC213" s="6">
        <f t="shared" si="40"/>
        <v>0</v>
      </c>
    </row>
    <row r="214" spans="1:29" x14ac:dyDescent="0.25">
      <c r="A214" t="s">
        <v>114</v>
      </c>
      <c r="B214" t="s">
        <v>138</v>
      </c>
      <c r="C214" s="1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 s="1">
        <v>45419</v>
      </c>
      <c r="J214" s="1">
        <v>45419</v>
      </c>
      <c r="K214" s="1">
        <v>45419</v>
      </c>
      <c r="L214" s="1">
        <v>45419</v>
      </c>
      <c r="M214" s="1">
        <v>45419</v>
      </c>
      <c r="N214" s="5"/>
      <c r="S214" s="6"/>
      <c r="T214" s="5">
        <f t="shared" si="31"/>
        <v>0</v>
      </c>
      <c r="U214" s="10">
        <f t="shared" si="32"/>
        <v>0</v>
      </c>
      <c r="V214" s="10">
        <f t="shared" si="33"/>
        <v>0</v>
      </c>
      <c r="W214" s="10">
        <f t="shared" si="34"/>
        <v>0</v>
      </c>
      <c r="X214" s="6">
        <f t="shared" si="35"/>
        <v>0</v>
      </c>
      <c r="Y214" s="5">
        <f t="shared" si="36"/>
        <v>0</v>
      </c>
      <c r="Z214" s="10">
        <f t="shared" si="37"/>
        <v>0</v>
      </c>
      <c r="AA214" s="10">
        <f t="shared" si="38"/>
        <v>0</v>
      </c>
      <c r="AB214" s="10">
        <f t="shared" si="39"/>
        <v>0</v>
      </c>
      <c r="AC214" s="6">
        <f t="shared" si="40"/>
        <v>0</v>
      </c>
    </row>
    <row r="215" spans="1:29" x14ac:dyDescent="0.25">
      <c r="A215" t="s">
        <v>114</v>
      </c>
      <c r="B215" t="s">
        <v>203</v>
      </c>
      <c r="C215" s="1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 s="1">
        <v>45419</v>
      </c>
      <c r="J215" s="1">
        <v>45419</v>
      </c>
      <c r="K215" s="1">
        <v>45419</v>
      </c>
      <c r="L215" s="1">
        <v>45419</v>
      </c>
      <c r="M215" s="1">
        <v>45419</v>
      </c>
      <c r="N215" s="5"/>
      <c r="S215" s="6"/>
      <c r="T215" s="5">
        <f t="shared" si="31"/>
        <v>0</v>
      </c>
      <c r="U215" s="10">
        <f t="shared" si="32"/>
        <v>0</v>
      </c>
      <c r="V215" s="10">
        <f t="shared" si="33"/>
        <v>0</v>
      </c>
      <c r="W215" s="10">
        <f t="shared" si="34"/>
        <v>0</v>
      </c>
      <c r="X215" s="6">
        <f t="shared" si="35"/>
        <v>0</v>
      </c>
      <c r="Y215" s="5">
        <f t="shared" si="36"/>
        <v>0</v>
      </c>
      <c r="Z215" s="10">
        <f t="shared" si="37"/>
        <v>0</v>
      </c>
      <c r="AA215" s="10">
        <f t="shared" si="38"/>
        <v>0</v>
      </c>
      <c r="AB215" s="10">
        <f t="shared" si="39"/>
        <v>0</v>
      </c>
      <c r="AC215" s="6">
        <f t="shared" si="40"/>
        <v>0</v>
      </c>
    </row>
    <row r="216" spans="1:29" x14ac:dyDescent="0.25">
      <c r="A216" t="s">
        <v>114</v>
      </c>
      <c r="B216" t="s">
        <v>142</v>
      </c>
      <c r="C216" s="1" t="s">
        <v>7</v>
      </c>
      <c r="D216">
        <v>0</v>
      </c>
      <c r="E216">
        <v>37</v>
      </c>
      <c r="F216">
        <v>5</v>
      </c>
      <c r="G216">
        <v>6</v>
      </c>
      <c r="H216">
        <v>27</v>
      </c>
      <c r="I216" s="1">
        <v>45419</v>
      </c>
      <c r="J216" s="1">
        <v>45456</v>
      </c>
      <c r="K216" s="1">
        <v>45424</v>
      </c>
      <c r="L216" s="1">
        <v>45425</v>
      </c>
      <c r="M216" s="1">
        <v>45446</v>
      </c>
      <c r="N216" s="5">
        <v>168.4049247637266</v>
      </c>
      <c r="P216">
        <v>171.28055896482019</v>
      </c>
      <c r="Q216">
        <v>168.74439271216099</v>
      </c>
      <c r="R216">
        <v>168.74439271216099</v>
      </c>
      <c r="S216" s="6">
        <v>176.83215417793139</v>
      </c>
      <c r="T216" s="5">
        <f t="shared" si="31"/>
        <v>0</v>
      </c>
      <c r="U216" s="10">
        <f t="shared" si="32"/>
        <v>1.7075713225893629</v>
      </c>
      <c r="V216" s="10">
        <f t="shared" si="33"/>
        <v>0.20157839737209304</v>
      </c>
      <c r="W216" s="10">
        <f t="shared" si="34"/>
        <v>0.20157839737209304</v>
      </c>
      <c r="X216" s="6">
        <f t="shared" si="35"/>
        <v>5.0041466578416571</v>
      </c>
      <c r="Y216" s="5">
        <f t="shared" si="36"/>
        <v>0</v>
      </c>
      <c r="Z216" s="10">
        <f t="shared" si="37"/>
        <v>17.075713225893629</v>
      </c>
      <c r="AA216" s="10">
        <f t="shared" si="38"/>
        <v>2.0157839737209304</v>
      </c>
      <c r="AB216" s="10">
        <f t="shared" si="39"/>
        <v>2.0157839737209304</v>
      </c>
      <c r="AC216" s="6">
        <f t="shared" si="40"/>
        <v>50.041466578416575</v>
      </c>
    </row>
    <row r="217" spans="1:29" x14ac:dyDescent="0.25">
      <c r="A217" t="s">
        <v>114</v>
      </c>
      <c r="B217" t="s">
        <v>204</v>
      </c>
      <c r="C217" s="1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 s="1">
        <v>45419</v>
      </c>
      <c r="J217" s="1">
        <v>45419</v>
      </c>
      <c r="K217" s="1">
        <v>45419</v>
      </c>
      <c r="L217" s="1">
        <v>45419</v>
      </c>
      <c r="M217" s="1">
        <v>45419</v>
      </c>
      <c r="N217" s="5"/>
      <c r="S217" s="6"/>
      <c r="T217" s="5">
        <f t="shared" si="31"/>
        <v>0</v>
      </c>
      <c r="U217" s="10">
        <f t="shared" si="32"/>
        <v>0</v>
      </c>
      <c r="V217" s="10">
        <f t="shared" si="33"/>
        <v>0</v>
      </c>
      <c r="W217" s="10">
        <f t="shared" si="34"/>
        <v>0</v>
      </c>
      <c r="X217" s="6">
        <f t="shared" si="35"/>
        <v>0</v>
      </c>
      <c r="Y217" s="5">
        <f t="shared" si="36"/>
        <v>0</v>
      </c>
      <c r="Z217" s="10">
        <f t="shared" si="37"/>
        <v>0</v>
      </c>
      <c r="AA217" s="10">
        <f t="shared" si="38"/>
        <v>0</v>
      </c>
      <c r="AB217" s="10">
        <f t="shared" si="39"/>
        <v>0</v>
      </c>
      <c r="AC217" s="6">
        <f t="shared" si="40"/>
        <v>0</v>
      </c>
    </row>
    <row r="218" spans="1:29" x14ac:dyDescent="0.25">
      <c r="A218" t="s">
        <v>114</v>
      </c>
      <c r="B218" t="s">
        <v>144</v>
      </c>
      <c r="C218" s="1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 s="1">
        <v>45419</v>
      </c>
      <c r="J218" s="1">
        <v>45419</v>
      </c>
      <c r="K218" s="1">
        <v>45419</v>
      </c>
      <c r="L218" s="1">
        <v>45419</v>
      </c>
      <c r="M218" s="1">
        <v>45419</v>
      </c>
      <c r="N218" s="5"/>
      <c r="S218" s="6"/>
      <c r="T218" s="5">
        <f t="shared" si="31"/>
        <v>0</v>
      </c>
      <c r="U218" s="10">
        <f t="shared" si="32"/>
        <v>0</v>
      </c>
      <c r="V218" s="10">
        <f t="shared" si="33"/>
        <v>0</v>
      </c>
      <c r="W218" s="10">
        <f t="shared" si="34"/>
        <v>0</v>
      </c>
      <c r="X218" s="6">
        <f t="shared" si="35"/>
        <v>0</v>
      </c>
      <c r="Y218" s="5">
        <f t="shared" si="36"/>
        <v>0</v>
      </c>
      <c r="Z218" s="10">
        <f t="shared" si="37"/>
        <v>0</v>
      </c>
      <c r="AA218" s="10">
        <f t="shared" si="38"/>
        <v>0</v>
      </c>
      <c r="AB218" s="10">
        <f t="shared" si="39"/>
        <v>0</v>
      </c>
      <c r="AC218" s="6">
        <f t="shared" si="40"/>
        <v>0</v>
      </c>
    </row>
    <row r="219" spans="1:29" x14ac:dyDescent="0.25">
      <c r="A219" t="s">
        <v>114</v>
      </c>
      <c r="B219" t="s">
        <v>128</v>
      </c>
      <c r="C219" s="1" t="s">
        <v>7</v>
      </c>
      <c r="D219">
        <v>0</v>
      </c>
      <c r="E219">
        <v>0</v>
      </c>
      <c r="F219">
        <v>0</v>
      </c>
      <c r="G219">
        <v>0</v>
      </c>
      <c r="H219">
        <v>0</v>
      </c>
      <c r="I219" s="1">
        <v>45419</v>
      </c>
      <c r="J219" s="1">
        <v>45419</v>
      </c>
      <c r="K219" s="1">
        <v>45419</v>
      </c>
      <c r="L219" s="1">
        <v>45419</v>
      </c>
      <c r="M219" s="1">
        <v>45419</v>
      </c>
      <c r="N219" s="5"/>
      <c r="S219" s="6"/>
      <c r="T219" s="5">
        <f t="shared" si="31"/>
        <v>0</v>
      </c>
      <c r="U219" s="10">
        <f t="shared" si="32"/>
        <v>0</v>
      </c>
      <c r="V219" s="10">
        <f t="shared" si="33"/>
        <v>0</v>
      </c>
      <c r="W219" s="10">
        <f t="shared" si="34"/>
        <v>0</v>
      </c>
      <c r="X219" s="6">
        <f t="shared" si="35"/>
        <v>0</v>
      </c>
      <c r="Y219" s="5">
        <f t="shared" si="36"/>
        <v>0</v>
      </c>
      <c r="Z219" s="10">
        <f t="shared" si="37"/>
        <v>0</v>
      </c>
      <c r="AA219" s="10">
        <f t="shared" si="38"/>
        <v>0</v>
      </c>
      <c r="AB219" s="10">
        <f t="shared" si="39"/>
        <v>0</v>
      </c>
      <c r="AC219" s="6">
        <f t="shared" si="40"/>
        <v>0</v>
      </c>
    </row>
    <row r="220" spans="1:29" x14ac:dyDescent="0.25">
      <c r="A220" t="s">
        <v>114</v>
      </c>
      <c r="B220" t="s">
        <v>205</v>
      </c>
      <c r="C220" s="1" t="s">
        <v>7</v>
      </c>
      <c r="D220">
        <v>0</v>
      </c>
      <c r="E220">
        <v>0</v>
      </c>
      <c r="F220">
        <v>0</v>
      </c>
      <c r="G220">
        <v>0</v>
      </c>
      <c r="H220">
        <v>0</v>
      </c>
      <c r="I220" s="1">
        <v>45419</v>
      </c>
      <c r="J220" s="1">
        <v>45419</v>
      </c>
      <c r="K220" s="1">
        <v>45419</v>
      </c>
      <c r="L220" s="1">
        <v>45419</v>
      </c>
      <c r="M220" s="1">
        <v>45419</v>
      </c>
      <c r="N220" s="5"/>
      <c r="S220" s="6"/>
      <c r="T220" s="5">
        <f t="shared" si="31"/>
        <v>0</v>
      </c>
      <c r="U220" s="10">
        <f t="shared" si="32"/>
        <v>0</v>
      </c>
      <c r="V220" s="10">
        <f t="shared" si="33"/>
        <v>0</v>
      </c>
      <c r="W220" s="10">
        <f t="shared" si="34"/>
        <v>0</v>
      </c>
      <c r="X220" s="6">
        <f t="shared" si="35"/>
        <v>0</v>
      </c>
      <c r="Y220" s="5">
        <f t="shared" si="36"/>
        <v>0</v>
      </c>
      <c r="Z220" s="10">
        <f t="shared" si="37"/>
        <v>0</v>
      </c>
      <c r="AA220" s="10">
        <f t="shared" si="38"/>
        <v>0</v>
      </c>
      <c r="AB220" s="10">
        <f t="shared" si="39"/>
        <v>0</v>
      </c>
      <c r="AC220" s="6">
        <f t="shared" si="40"/>
        <v>0</v>
      </c>
    </row>
    <row r="221" spans="1:29" x14ac:dyDescent="0.25">
      <c r="A221" t="s">
        <v>114</v>
      </c>
      <c r="B221" t="s">
        <v>206</v>
      </c>
      <c r="C221" s="1" t="s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 s="1">
        <v>45419</v>
      </c>
      <c r="J221" s="1">
        <v>45419</v>
      </c>
      <c r="K221" s="1">
        <v>45419</v>
      </c>
      <c r="L221" s="1">
        <v>45419</v>
      </c>
      <c r="M221" s="1">
        <v>45419</v>
      </c>
      <c r="N221" s="5"/>
      <c r="S221" s="6"/>
      <c r="T221" s="5">
        <f t="shared" si="31"/>
        <v>0</v>
      </c>
      <c r="U221" s="10">
        <f t="shared" si="32"/>
        <v>0</v>
      </c>
      <c r="V221" s="10">
        <f t="shared" si="33"/>
        <v>0</v>
      </c>
      <c r="W221" s="10">
        <f t="shared" si="34"/>
        <v>0</v>
      </c>
      <c r="X221" s="6">
        <f t="shared" si="35"/>
        <v>0</v>
      </c>
      <c r="Y221" s="5">
        <f t="shared" si="36"/>
        <v>0</v>
      </c>
      <c r="Z221" s="10">
        <f t="shared" si="37"/>
        <v>0</v>
      </c>
      <c r="AA221" s="10">
        <f t="shared" si="38"/>
        <v>0</v>
      </c>
      <c r="AB221" s="10">
        <f t="shared" si="39"/>
        <v>0</v>
      </c>
      <c r="AC221" s="6">
        <f t="shared" si="40"/>
        <v>0</v>
      </c>
    </row>
    <row r="222" spans="1:29" x14ac:dyDescent="0.25">
      <c r="A222" t="s">
        <v>114</v>
      </c>
      <c r="B222" t="s">
        <v>207</v>
      </c>
      <c r="C222" s="1" t="s">
        <v>7</v>
      </c>
      <c r="D222">
        <v>0</v>
      </c>
      <c r="E222">
        <v>0</v>
      </c>
      <c r="F222">
        <v>0</v>
      </c>
      <c r="G222">
        <v>0</v>
      </c>
      <c r="H222">
        <v>0</v>
      </c>
      <c r="I222" s="1">
        <v>45419</v>
      </c>
      <c r="J222" s="1">
        <v>45419</v>
      </c>
      <c r="K222" s="1">
        <v>45419</v>
      </c>
      <c r="L222" s="1">
        <v>45419</v>
      </c>
      <c r="M222" s="1">
        <v>45419</v>
      </c>
      <c r="N222" s="5"/>
      <c r="S222" s="6"/>
      <c r="T222" s="5">
        <f t="shared" si="31"/>
        <v>0</v>
      </c>
      <c r="U222" s="10">
        <f t="shared" si="32"/>
        <v>0</v>
      </c>
      <c r="V222" s="10">
        <f t="shared" si="33"/>
        <v>0</v>
      </c>
      <c r="W222" s="10">
        <f t="shared" si="34"/>
        <v>0</v>
      </c>
      <c r="X222" s="6">
        <f t="shared" si="35"/>
        <v>0</v>
      </c>
      <c r="Y222" s="5">
        <f t="shared" si="36"/>
        <v>0</v>
      </c>
      <c r="Z222" s="10">
        <f t="shared" si="37"/>
        <v>0</v>
      </c>
      <c r="AA222" s="10">
        <f t="shared" si="38"/>
        <v>0</v>
      </c>
      <c r="AB222" s="10">
        <f t="shared" si="39"/>
        <v>0</v>
      </c>
      <c r="AC222" s="6">
        <f t="shared" si="40"/>
        <v>0</v>
      </c>
    </row>
    <row r="223" spans="1:29" x14ac:dyDescent="0.25">
      <c r="A223" t="s">
        <v>114</v>
      </c>
      <c r="B223" t="s">
        <v>128</v>
      </c>
      <c r="C223" s="1" t="s">
        <v>7</v>
      </c>
      <c r="D223">
        <v>0</v>
      </c>
      <c r="E223">
        <v>0</v>
      </c>
      <c r="F223">
        <v>0</v>
      </c>
      <c r="G223">
        <v>0</v>
      </c>
      <c r="H223">
        <v>0</v>
      </c>
      <c r="I223" s="1">
        <v>45419</v>
      </c>
      <c r="J223" s="1">
        <v>45419</v>
      </c>
      <c r="K223" s="1">
        <v>45419</v>
      </c>
      <c r="L223" s="1">
        <v>45419</v>
      </c>
      <c r="M223" s="1">
        <v>45419</v>
      </c>
      <c r="N223" s="5"/>
      <c r="S223" s="6"/>
      <c r="T223" s="5">
        <f t="shared" si="31"/>
        <v>0</v>
      </c>
      <c r="U223" s="10">
        <f t="shared" si="32"/>
        <v>0</v>
      </c>
      <c r="V223" s="10">
        <f t="shared" si="33"/>
        <v>0</v>
      </c>
      <c r="W223" s="10">
        <f t="shared" si="34"/>
        <v>0</v>
      </c>
      <c r="X223" s="6">
        <f t="shared" si="35"/>
        <v>0</v>
      </c>
      <c r="Y223" s="5">
        <f t="shared" si="36"/>
        <v>0</v>
      </c>
      <c r="Z223" s="10">
        <f t="shared" si="37"/>
        <v>0</v>
      </c>
      <c r="AA223" s="10">
        <f t="shared" si="38"/>
        <v>0</v>
      </c>
      <c r="AB223" s="10">
        <f t="shared" si="39"/>
        <v>0</v>
      </c>
      <c r="AC223" s="6">
        <f t="shared" si="40"/>
        <v>0</v>
      </c>
    </row>
    <row r="224" spans="1:29" x14ac:dyDescent="0.25">
      <c r="A224" t="s">
        <v>114</v>
      </c>
      <c r="B224" t="s">
        <v>128</v>
      </c>
      <c r="C224" s="1" t="s">
        <v>7</v>
      </c>
      <c r="D224">
        <v>0</v>
      </c>
      <c r="E224">
        <v>0</v>
      </c>
      <c r="F224">
        <v>0</v>
      </c>
      <c r="G224">
        <v>0</v>
      </c>
      <c r="H224">
        <v>0</v>
      </c>
      <c r="I224" s="1">
        <v>45419</v>
      </c>
      <c r="J224" s="1">
        <v>45419</v>
      </c>
      <c r="K224" s="1">
        <v>45419</v>
      </c>
      <c r="L224" s="1">
        <v>45419</v>
      </c>
      <c r="M224" s="1">
        <v>45419</v>
      </c>
      <c r="N224" s="5"/>
      <c r="S224" s="6"/>
      <c r="T224" s="5">
        <f t="shared" si="31"/>
        <v>0</v>
      </c>
      <c r="U224" s="10">
        <f t="shared" si="32"/>
        <v>0</v>
      </c>
      <c r="V224" s="10">
        <f t="shared" si="33"/>
        <v>0</v>
      </c>
      <c r="W224" s="10">
        <f t="shared" si="34"/>
        <v>0</v>
      </c>
      <c r="X224" s="6">
        <f t="shared" si="35"/>
        <v>0</v>
      </c>
      <c r="Y224" s="5">
        <f t="shared" si="36"/>
        <v>0</v>
      </c>
      <c r="Z224" s="10">
        <f t="shared" si="37"/>
        <v>0</v>
      </c>
      <c r="AA224" s="10">
        <f t="shared" si="38"/>
        <v>0</v>
      </c>
      <c r="AB224" s="10">
        <f t="shared" si="39"/>
        <v>0</v>
      </c>
      <c r="AC224" s="6">
        <f t="shared" si="40"/>
        <v>0</v>
      </c>
    </row>
    <row r="225" spans="1:29" x14ac:dyDescent="0.25">
      <c r="A225" t="s">
        <v>114</v>
      </c>
      <c r="B225" t="s">
        <v>208</v>
      </c>
      <c r="C225" s="1" t="s">
        <v>7</v>
      </c>
      <c r="D225">
        <v>0</v>
      </c>
      <c r="E225">
        <v>0</v>
      </c>
      <c r="F225">
        <v>0</v>
      </c>
      <c r="G225">
        <v>0</v>
      </c>
      <c r="H225">
        <v>34</v>
      </c>
      <c r="I225" s="1">
        <v>45419</v>
      </c>
      <c r="J225" s="1">
        <v>45419</v>
      </c>
      <c r="K225" s="1">
        <v>45419</v>
      </c>
      <c r="L225" s="1">
        <v>45419</v>
      </c>
      <c r="M225" s="1">
        <v>45453</v>
      </c>
      <c r="N225" s="5">
        <v>40.282394585019077</v>
      </c>
      <c r="S225" s="6">
        <v>39.917358390046722</v>
      </c>
      <c r="T225" s="5">
        <f t="shared" si="31"/>
        <v>0</v>
      </c>
      <c r="U225" s="10">
        <f t="shared" si="32"/>
        <v>0</v>
      </c>
      <c r="V225" s="10">
        <f t="shared" si="33"/>
        <v>0</v>
      </c>
      <c r="W225" s="10">
        <f t="shared" si="34"/>
        <v>0</v>
      </c>
      <c r="X225" s="6">
        <f t="shared" si="35"/>
        <v>-0.90619288831481626</v>
      </c>
      <c r="Y225" s="5">
        <f t="shared" si="36"/>
        <v>0</v>
      </c>
      <c r="Z225" s="10">
        <f t="shared" si="37"/>
        <v>0</v>
      </c>
      <c r="AA225" s="10">
        <f t="shared" si="38"/>
        <v>0</v>
      </c>
      <c r="AB225" s="10">
        <f t="shared" si="39"/>
        <v>0</v>
      </c>
      <c r="AC225" s="6">
        <f t="shared" si="40"/>
        <v>-9.0619288831481626</v>
      </c>
    </row>
    <row r="226" spans="1:29" x14ac:dyDescent="0.25">
      <c r="A226" t="s">
        <v>114</v>
      </c>
      <c r="B226" t="s">
        <v>134</v>
      </c>
      <c r="C226" s="1" t="s">
        <v>7</v>
      </c>
      <c r="D226">
        <v>0</v>
      </c>
      <c r="E226">
        <v>0</v>
      </c>
      <c r="F226">
        <v>0</v>
      </c>
      <c r="G226">
        <v>0</v>
      </c>
      <c r="H226">
        <v>0</v>
      </c>
      <c r="I226" s="1">
        <v>45419</v>
      </c>
      <c r="J226" s="1">
        <v>45419</v>
      </c>
      <c r="K226" s="1">
        <v>45419</v>
      </c>
      <c r="L226" s="1">
        <v>45419</v>
      </c>
      <c r="M226" s="1">
        <v>45419</v>
      </c>
      <c r="N226" s="5"/>
      <c r="S226" s="6"/>
      <c r="T226" s="5">
        <f t="shared" si="31"/>
        <v>0</v>
      </c>
      <c r="U226" s="10">
        <f t="shared" si="32"/>
        <v>0</v>
      </c>
      <c r="V226" s="10">
        <f t="shared" si="33"/>
        <v>0</v>
      </c>
      <c r="W226" s="10">
        <f t="shared" si="34"/>
        <v>0</v>
      </c>
      <c r="X226" s="6">
        <f t="shared" si="35"/>
        <v>0</v>
      </c>
      <c r="Y226" s="5">
        <f t="shared" si="36"/>
        <v>0</v>
      </c>
      <c r="Z226" s="10">
        <f t="shared" si="37"/>
        <v>0</v>
      </c>
      <c r="AA226" s="10">
        <f t="shared" si="38"/>
        <v>0</v>
      </c>
      <c r="AB226" s="10">
        <f t="shared" si="39"/>
        <v>0</v>
      </c>
      <c r="AC226" s="6">
        <f t="shared" si="40"/>
        <v>0</v>
      </c>
    </row>
    <row r="227" spans="1:29" x14ac:dyDescent="0.25">
      <c r="A227" t="s">
        <v>114</v>
      </c>
      <c r="B227" t="s">
        <v>209</v>
      </c>
      <c r="C227" s="1" t="s">
        <v>7</v>
      </c>
      <c r="D227">
        <v>0</v>
      </c>
      <c r="E227">
        <v>0</v>
      </c>
      <c r="F227">
        <v>0</v>
      </c>
      <c r="G227">
        <v>0</v>
      </c>
      <c r="H227">
        <v>0</v>
      </c>
      <c r="I227" s="1">
        <v>45419</v>
      </c>
      <c r="J227" s="1">
        <v>45419</v>
      </c>
      <c r="K227" s="1">
        <v>45419</v>
      </c>
      <c r="L227" s="1">
        <v>45419</v>
      </c>
      <c r="M227" s="1">
        <v>45419</v>
      </c>
      <c r="N227" s="5"/>
      <c r="S227" s="6"/>
      <c r="T227" s="5">
        <f t="shared" si="31"/>
        <v>0</v>
      </c>
      <c r="U227" s="10">
        <f t="shared" si="32"/>
        <v>0</v>
      </c>
      <c r="V227" s="10">
        <f t="shared" si="33"/>
        <v>0</v>
      </c>
      <c r="W227" s="10">
        <f t="shared" si="34"/>
        <v>0</v>
      </c>
      <c r="X227" s="6">
        <f t="shared" si="35"/>
        <v>0</v>
      </c>
      <c r="Y227" s="5">
        <f t="shared" si="36"/>
        <v>0</v>
      </c>
      <c r="Z227" s="10">
        <f t="shared" si="37"/>
        <v>0</v>
      </c>
      <c r="AA227" s="10">
        <f t="shared" si="38"/>
        <v>0</v>
      </c>
      <c r="AB227" s="10">
        <f t="shared" si="39"/>
        <v>0</v>
      </c>
      <c r="AC227" s="6">
        <f t="shared" si="40"/>
        <v>0</v>
      </c>
    </row>
    <row r="228" spans="1:29" x14ac:dyDescent="0.25">
      <c r="A228" t="s">
        <v>114</v>
      </c>
      <c r="B228" t="s">
        <v>160</v>
      </c>
      <c r="C228" s="1" t="s">
        <v>7</v>
      </c>
      <c r="D228">
        <v>0</v>
      </c>
      <c r="E228">
        <v>0</v>
      </c>
      <c r="F228">
        <v>0</v>
      </c>
      <c r="G228">
        <v>0</v>
      </c>
      <c r="H228">
        <v>0</v>
      </c>
      <c r="I228" s="1">
        <v>45419</v>
      </c>
      <c r="J228" s="1">
        <v>45419</v>
      </c>
      <c r="K228" s="1">
        <v>45419</v>
      </c>
      <c r="L228" s="1">
        <v>45419</v>
      </c>
      <c r="M228" s="1">
        <v>45419</v>
      </c>
      <c r="N228" s="5"/>
      <c r="S228" s="6"/>
      <c r="T228" s="5">
        <f t="shared" si="31"/>
        <v>0</v>
      </c>
      <c r="U228" s="10">
        <f t="shared" si="32"/>
        <v>0</v>
      </c>
      <c r="V228" s="10">
        <f t="shared" si="33"/>
        <v>0</v>
      </c>
      <c r="W228" s="10">
        <f t="shared" si="34"/>
        <v>0</v>
      </c>
      <c r="X228" s="6">
        <f t="shared" si="35"/>
        <v>0</v>
      </c>
      <c r="Y228" s="5">
        <f t="shared" si="36"/>
        <v>0</v>
      </c>
      <c r="Z228" s="10">
        <f t="shared" si="37"/>
        <v>0</v>
      </c>
      <c r="AA228" s="10">
        <f t="shared" si="38"/>
        <v>0</v>
      </c>
      <c r="AB228" s="10">
        <f t="shared" si="39"/>
        <v>0</v>
      </c>
      <c r="AC228" s="6">
        <f t="shared" si="40"/>
        <v>0</v>
      </c>
    </row>
    <row r="229" spans="1:29" x14ac:dyDescent="0.25">
      <c r="A229" t="s">
        <v>114</v>
      </c>
      <c r="B229" t="s">
        <v>154</v>
      </c>
      <c r="C229" s="1" t="s">
        <v>7</v>
      </c>
      <c r="D229">
        <v>0</v>
      </c>
      <c r="E229">
        <v>0</v>
      </c>
      <c r="F229">
        <v>0</v>
      </c>
      <c r="G229">
        <v>0</v>
      </c>
      <c r="H229">
        <v>0</v>
      </c>
      <c r="I229" s="1">
        <v>45419</v>
      </c>
      <c r="J229" s="1">
        <v>45419</v>
      </c>
      <c r="K229" s="1">
        <v>45419</v>
      </c>
      <c r="L229" s="1">
        <v>45419</v>
      </c>
      <c r="M229" s="1">
        <v>45419</v>
      </c>
      <c r="N229" s="5"/>
      <c r="S229" s="6"/>
      <c r="T229" s="5">
        <f t="shared" si="31"/>
        <v>0</v>
      </c>
      <c r="U229" s="10">
        <f t="shared" si="32"/>
        <v>0</v>
      </c>
      <c r="V229" s="10">
        <f t="shared" si="33"/>
        <v>0</v>
      </c>
      <c r="W229" s="10">
        <f t="shared" si="34"/>
        <v>0</v>
      </c>
      <c r="X229" s="6">
        <f t="shared" si="35"/>
        <v>0</v>
      </c>
      <c r="Y229" s="5">
        <f t="shared" si="36"/>
        <v>0</v>
      </c>
      <c r="Z229" s="10">
        <f t="shared" si="37"/>
        <v>0</v>
      </c>
      <c r="AA229" s="10">
        <f t="shared" si="38"/>
        <v>0</v>
      </c>
      <c r="AB229" s="10">
        <f t="shared" si="39"/>
        <v>0</v>
      </c>
      <c r="AC229" s="6">
        <f t="shared" si="40"/>
        <v>0</v>
      </c>
    </row>
    <row r="230" spans="1:29" x14ac:dyDescent="0.25">
      <c r="A230" t="s">
        <v>114</v>
      </c>
      <c r="B230" t="s">
        <v>140</v>
      </c>
      <c r="C230" s="1" t="s">
        <v>7</v>
      </c>
      <c r="D230">
        <v>0</v>
      </c>
      <c r="E230">
        <v>0</v>
      </c>
      <c r="F230">
        <v>0</v>
      </c>
      <c r="G230">
        <v>0</v>
      </c>
      <c r="H230">
        <v>0</v>
      </c>
      <c r="I230" s="1">
        <v>45419</v>
      </c>
      <c r="J230" s="1">
        <v>45419</v>
      </c>
      <c r="K230" s="1">
        <v>45419</v>
      </c>
      <c r="L230" s="1">
        <v>45419</v>
      </c>
      <c r="M230" s="1">
        <v>45419</v>
      </c>
      <c r="N230" s="5"/>
      <c r="S230" s="6"/>
      <c r="T230" s="5">
        <f t="shared" si="31"/>
        <v>0</v>
      </c>
      <c r="U230" s="10">
        <f t="shared" si="32"/>
        <v>0</v>
      </c>
      <c r="V230" s="10">
        <f t="shared" si="33"/>
        <v>0</v>
      </c>
      <c r="W230" s="10">
        <f t="shared" si="34"/>
        <v>0</v>
      </c>
      <c r="X230" s="6">
        <f t="shared" si="35"/>
        <v>0</v>
      </c>
      <c r="Y230" s="5">
        <f t="shared" si="36"/>
        <v>0</v>
      </c>
      <c r="Z230" s="10">
        <f t="shared" si="37"/>
        <v>0</v>
      </c>
      <c r="AA230" s="10">
        <f t="shared" si="38"/>
        <v>0</v>
      </c>
      <c r="AB230" s="10">
        <f t="shared" si="39"/>
        <v>0</v>
      </c>
      <c r="AC230" s="6">
        <f t="shared" si="40"/>
        <v>0</v>
      </c>
    </row>
    <row r="231" spans="1:29" x14ac:dyDescent="0.25">
      <c r="A231" t="s">
        <v>114</v>
      </c>
      <c r="B231" t="s">
        <v>75</v>
      </c>
      <c r="C231" s="1" t="s">
        <v>7</v>
      </c>
      <c r="D231">
        <v>0</v>
      </c>
      <c r="E231">
        <v>0</v>
      </c>
      <c r="F231">
        <v>0</v>
      </c>
      <c r="G231">
        <v>0</v>
      </c>
      <c r="H231">
        <v>0</v>
      </c>
      <c r="I231" s="1">
        <v>45419</v>
      </c>
      <c r="J231" s="1">
        <v>45419</v>
      </c>
      <c r="K231" s="1">
        <v>45419</v>
      </c>
      <c r="L231" s="1">
        <v>45419</v>
      </c>
      <c r="M231" s="1">
        <v>45419</v>
      </c>
      <c r="N231" s="5"/>
      <c r="S231" s="6"/>
      <c r="T231" s="5">
        <f t="shared" si="31"/>
        <v>0</v>
      </c>
      <c r="U231" s="10">
        <f t="shared" si="32"/>
        <v>0</v>
      </c>
      <c r="V231" s="10">
        <f t="shared" si="33"/>
        <v>0</v>
      </c>
      <c r="W231" s="10">
        <f t="shared" si="34"/>
        <v>0</v>
      </c>
      <c r="X231" s="6">
        <f t="shared" si="35"/>
        <v>0</v>
      </c>
      <c r="Y231" s="5">
        <f t="shared" si="36"/>
        <v>0</v>
      </c>
      <c r="Z231" s="10">
        <f t="shared" si="37"/>
        <v>0</v>
      </c>
      <c r="AA231" s="10">
        <f t="shared" si="38"/>
        <v>0</v>
      </c>
      <c r="AB231" s="10">
        <f t="shared" si="39"/>
        <v>0</v>
      </c>
      <c r="AC231" s="6">
        <f t="shared" si="40"/>
        <v>0</v>
      </c>
    </row>
    <row r="232" spans="1:29" x14ac:dyDescent="0.25">
      <c r="A232" t="s">
        <v>114</v>
      </c>
      <c r="B232" t="s">
        <v>210</v>
      </c>
      <c r="C232" s="1" t="s">
        <v>7</v>
      </c>
      <c r="D232">
        <v>0</v>
      </c>
      <c r="E232">
        <v>37</v>
      </c>
      <c r="F232">
        <v>0</v>
      </c>
      <c r="G232">
        <v>0</v>
      </c>
      <c r="H232">
        <v>0</v>
      </c>
      <c r="I232" s="1">
        <v>45419</v>
      </c>
      <c r="J232" s="1">
        <v>45456</v>
      </c>
      <c r="K232" s="1">
        <v>45419</v>
      </c>
      <c r="L232" s="1">
        <v>45419</v>
      </c>
      <c r="M232" s="1">
        <v>45419</v>
      </c>
      <c r="N232" s="5">
        <v>228.19999694824219</v>
      </c>
      <c r="P232">
        <v>218.58000183105469</v>
      </c>
      <c r="S232" s="6"/>
      <c r="T232" s="5">
        <f t="shared" si="31"/>
        <v>0</v>
      </c>
      <c r="U232" s="10">
        <f t="shared" si="32"/>
        <v>-4.2155982672381072</v>
      </c>
      <c r="V232" s="10">
        <f t="shared" si="33"/>
        <v>0</v>
      </c>
      <c r="W232" s="10">
        <f t="shared" si="34"/>
        <v>0</v>
      </c>
      <c r="X232" s="6">
        <f t="shared" si="35"/>
        <v>0</v>
      </c>
      <c r="Y232" s="5">
        <f t="shared" si="36"/>
        <v>0</v>
      </c>
      <c r="Z232" s="10">
        <f t="shared" si="37"/>
        <v>-42.155982672381072</v>
      </c>
      <c r="AA232" s="10">
        <f t="shared" si="38"/>
        <v>0</v>
      </c>
      <c r="AB232" s="10">
        <f t="shared" si="39"/>
        <v>0</v>
      </c>
      <c r="AC232" s="6">
        <f t="shared" si="40"/>
        <v>0</v>
      </c>
    </row>
    <row r="233" spans="1:29" x14ac:dyDescent="0.25">
      <c r="A233" t="s">
        <v>114</v>
      </c>
      <c r="B233" t="s">
        <v>41</v>
      </c>
      <c r="C233" s="1" t="s">
        <v>7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45419</v>
      </c>
      <c r="J233" s="1">
        <v>45419</v>
      </c>
      <c r="K233" s="1">
        <v>45419</v>
      </c>
      <c r="L233" s="1">
        <v>45419</v>
      </c>
      <c r="M233" s="1">
        <v>45419</v>
      </c>
      <c r="N233" s="5"/>
      <c r="S233" s="6"/>
      <c r="T233" s="5">
        <f t="shared" si="31"/>
        <v>0</v>
      </c>
      <c r="U233" s="10">
        <f t="shared" si="32"/>
        <v>0</v>
      </c>
      <c r="V233" s="10">
        <f t="shared" si="33"/>
        <v>0</v>
      </c>
      <c r="W233" s="10">
        <f t="shared" si="34"/>
        <v>0</v>
      </c>
      <c r="X233" s="6">
        <f t="shared" si="35"/>
        <v>0</v>
      </c>
      <c r="Y233" s="5">
        <f t="shared" si="36"/>
        <v>0</v>
      </c>
      <c r="Z233" s="10">
        <f t="shared" si="37"/>
        <v>0</v>
      </c>
      <c r="AA233" s="10">
        <f t="shared" si="38"/>
        <v>0</v>
      </c>
      <c r="AB233" s="10">
        <f t="shared" si="39"/>
        <v>0</v>
      </c>
      <c r="AC233" s="6">
        <f t="shared" si="40"/>
        <v>0</v>
      </c>
    </row>
    <row r="234" spans="1:29" x14ac:dyDescent="0.25">
      <c r="A234" t="s">
        <v>114</v>
      </c>
      <c r="B234" t="s">
        <v>85</v>
      </c>
      <c r="C234" s="1" t="s">
        <v>7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45419</v>
      </c>
      <c r="J234" s="1">
        <v>45419</v>
      </c>
      <c r="K234" s="1">
        <v>45419</v>
      </c>
      <c r="L234" s="1">
        <v>45419</v>
      </c>
      <c r="M234" s="1">
        <v>45419</v>
      </c>
      <c r="N234" s="5"/>
      <c r="S234" s="6"/>
      <c r="T234" s="5">
        <f t="shared" si="31"/>
        <v>0</v>
      </c>
      <c r="U234" s="10">
        <f t="shared" si="32"/>
        <v>0</v>
      </c>
      <c r="V234" s="10">
        <f t="shared" si="33"/>
        <v>0</v>
      </c>
      <c r="W234" s="10">
        <f t="shared" si="34"/>
        <v>0</v>
      </c>
      <c r="X234" s="6">
        <f t="shared" si="35"/>
        <v>0</v>
      </c>
      <c r="Y234" s="5">
        <f t="shared" si="36"/>
        <v>0</v>
      </c>
      <c r="Z234" s="10">
        <f t="shared" si="37"/>
        <v>0</v>
      </c>
      <c r="AA234" s="10">
        <f t="shared" si="38"/>
        <v>0</v>
      </c>
      <c r="AB234" s="10">
        <f t="shared" si="39"/>
        <v>0</v>
      </c>
      <c r="AC234" s="6">
        <f t="shared" si="40"/>
        <v>0</v>
      </c>
    </row>
    <row r="235" spans="1:29" x14ac:dyDescent="0.25">
      <c r="A235" t="s">
        <v>114</v>
      </c>
      <c r="B235" t="s">
        <v>211</v>
      </c>
      <c r="C235" s="1" t="s">
        <v>7</v>
      </c>
      <c r="D235">
        <v>0</v>
      </c>
      <c r="E235">
        <v>37</v>
      </c>
      <c r="F235">
        <v>0</v>
      </c>
      <c r="G235">
        <v>38</v>
      </c>
      <c r="H235">
        <v>0</v>
      </c>
      <c r="I235" s="1">
        <v>45419</v>
      </c>
      <c r="J235" s="1">
        <v>45456</v>
      </c>
      <c r="K235" s="1">
        <v>45419</v>
      </c>
      <c r="L235" s="1">
        <v>45457</v>
      </c>
      <c r="M235" s="1">
        <v>45419</v>
      </c>
      <c r="N235" s="5">
        <v>102.9678860588247</v>
      </c>
      <c r="P235">
        <v>110.29785861546689</v>
      </c>
      <c r="R235">
        <v>109.5049133377666</v>
      </c>
      <c r="S235" s="6"/>
      <c r="T235" s="5">
        <f t="shared" si="31"/>
        <v>0</v>
      </c>
      <c r="U235" s="10">
        <f t="shared" si="32"/>
        <v>7.1186977194565682</v>
      </c>
      <c r="V235" s="10">
        <f t="shared" si="33"/>
        <v>0</v>
      </c>
      <c r="W235" s="10">
        <f t="shared" si="34"/>
        <v>6.3486078321617123</v>
      </c>
      <c r="X235" s="6">
        <f t="shared" si="35"/>
        <v>0</v>
      </c>
      <c r="Y235" s="5">
        <f t="shared" si="36"/>
        <v>0</v>
      </c>
      <c r="Z235" s="10">
        <f t="shared" si="37"/>
        <v>71.186977194565685</v>
      </c>
      <c r="AA235" s="10">
        <f t="shared" si="38"/>
        <v>0</v>
      </c>
      <c r="AB235" s="10">
        <f t="shared" si="39"/>
        <v>63.486078321617121</v>
      </c>
      <c r="AC235" s="6">
        <f t="shared" si="40"/>
        <v>0</v>
      </c>
    </row>
    <row r="236" spans="1:29" x14ac:dyDescent="0.25">
      <c r="A236" t="s">
        <v>114</v>
      </c>
      <c r="B236" t="s">
        <v>212</v>
      </c>
      <c r="C236" s="1" t="s">
        <v>7</v>
      </c>
      <c r="D236">
        <v>0</v>
      </c>
      <c r="E236">
        <v>0</v>
      </c>
      <c r="F236">
        <v>0</v>
      </c>
      <c r="G236">
        <v>0</v>
      </c>
      <c r="H236">
        <v>0</v>
      </c>
      <c r="I236" s="1">
        <v>45419</v>
      </c>
      <c r="J236" s="1">
        <v>45419</v>
      </c>
      <c r="K236" s="1">
        <v>45419</v>
      </c>
      <c r="L236" s="1">
        <v>45419</v>
      </c>
      <c r="M236" s="1">
        <v>45419</v>
      </c>
      <c r="N236" s="5"/>
      <c r="S236" s="6"/>
      <c r="T236" s="5">
        <f t="shared" si="31"/>
        <v>0</v>
      </c>
      <c r="U236" s="10">
        <f t="shared" si="32"/>
        <v>0</v>
      </c>
      <c r="V236" s="10">
        <f t="shared" si="33"/>
        <v>0</v>
      </c>
      <c r="W236" s="10">
        <f t="shared" si="34"/>
        <v>0</v>
      </c>
      <c r="X236" s="6">
        <f t="shared" si="35"/>
        <v>0</v>
      </c>
      <c r="Y236" s="5">
        <f t="shared" si="36"/>
        <v>0</v>
      </c>
      <c r="Z236" s="10">
        <f t="shared" si="37"/>
        <v>0</v>
      </c>
      <c r="AA236" s="10">
        <f t="shared" si="38"/>
        <v>0</v>
      </c>
      <c r="AB236" s="10">
        <f t="shared" si="39"/>
        <v>0</v>
      </c>
      <c r="AC236" s="6">
        <f t="shared" si="40"/>
        <v>0</v>
      </c>
    </row>
    <row r="237" spans="1:29" x14ac:dyDescent="0.25">
      <c r="A237" t="s">
        <v>114</v>
      </c>
      <c r="B237" t="s">
        <v>88</v>
      </c>
      <c r="C237" s="1" t="s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 s="1">
        <v>45419</v>
      </c>
      <c r="J237" s="1">
        <v>45419</v>
      </c>
      <c r="K237" s="1">
        <v>45419</v>
      </c>
      <c r="L237" s="1">
        <v>45419</v>
      </c>
      <c r="M237" s="1">
        <v>45419</v>
      </c>
      <c r="N237" s="5"/>
      <c r="S237" s="6"/>
      <c r="T237" s="5">
        <f t="shared" si="31"/>
        <v>0</v>
      </c>
      <c r="U237" s="10">
        <f t="shared" si="32"/>
        <v>0</v>
      </c>
      <c r="V237" s="10">
        <f t="shared" si="33"/>
        <v>0</v>
      </c>
      <c r="W237" s="10">
        <f t="shared" si="34"/>
        <v>0</v>
      </c>
      <c r="X237" s="6">
        <f t="shared" si="35"/>
        <v>0</v>
      </c>
      <c r="Y237" s="5">
        <f t="shared" si="36"/>
        <v>0</v>
      </c>
      <c r="Z237" s="10">
        <f t="shared" si="37"/>
        <v>0</v>
      </c>
      <c r="AA237" s="10">
        <f t="shared" si="38"/>
        <v>0</v>
      </c>
      <c r="AB237" s="10">
        <f t="shared" si="39"/>
        <v>0</v>
      </c>
      <c r="AC237" s="6">
        <f t="shared" si="40"/>
        <v>0</v>
      </c>
    </row>
    <row r="238" spans="1:29" x14ac:dyDescent="0.25">
      <c r="A238" t="s">
        <v>114</v>
      </c>
      <c r="B238" t="s">
        <v>157</v>
      </c>
      <c r="C238" s="1" t="s">
        <v>7</v>
      </c>
      <c r="D238">
        <v>0</v>
      </c>
      <c r="E238">
        <v>0</v>
      </c>
      <c r="F238">
        <v>0</v>
      </c>
      <c r="G238">
        <v>0</v>
      </c>
      <c r="H238">
        <v>0</v>
      </c>
      <c r="I238" s="1">
        <v>45419</v>
      </c>
      <c r="J238" s="1">
        <v>45419</v>
      </c>
      <c r="K238" s="1">
        <v>45419</v>
      </c>
      <c r="L238" s="1">
        <v>45419</v>
      </c>
      <c r="M238" s="1">
        <v>45419</v>
      </c>
      <c r="N238" s="5"/>
      <c r="S238" s="6"/>
      <c r="T238" s="5">
        <f t="shared" si="31"/>
        <v>0</v>
      </c>
      <c r="U238" s="10">
        <f t="shared" si="32"/>
        <v>0</v>
      </c>
      <c r="V238" s="10">
        <f t="shared" si="33"/>
        <v>0</v>
      </c>
      <c r="W238" s="10">
        <f t="shared" si="34"/>
        <v>0</v>
      </c>
      <c r="X238" s="6">
        <f t="shared" si="35"/>
        <v>0</v>
      </c>
      <c r="Y238" s="5">
        <f t="shared" si="36"/>
        <v>0</v>
      </c>
      <c r="Z238" s="10">
        <f t="shared" si="37"/>
        <v>0</v>
      </c>
      <c r="AA238" s="10">
        <f t="shared" si="38"/>
        <v>0</v>
      </c>
      <c r="AB238" s="10">
        <f t="shared" si="39"/>
        <v>0</v>
      </c>
      <c r="AC238" s="6">
        <f t="shared" si="40"/>
        <v>0</v>
      </c>
    </row>
    <row r="239" spans="1:29" x14ac:dyDescent="0.25">
      <c r="A239" t="s">
        <v>114</v>
      </c>
      <c r="B239" t="s">
        <v>213</v>
      </c>
      <c r="C239" s="1" t="s">
        <v>7</v>
      </c>
      <c r="D239">
        <v>0</v>
      </c>
      <c r="E239">
        <v>37</v>
      </c>
      <c r="F239">
        <v>0</v>
      </c>
      <c r="G239">
        <v>0</v>
      </c>
      <c r="H239">
        <v>0</v>
      </c>
      <c r="I239" s="1">
        <v>45419</v>
      </c>
      <c r="J239" s="1">
        <v>45456</v>
      </c>
      <c r="K239" s="1">
        <v>45419</v>
      </c>
      <c r="L239" s="1">
        <v>45419</v>
      </c>
      <c r="M239" s="1">
        <v>45419</v>
      </c>
      <c r="N239" s="5">
        <v>242.4683325988232</v>
      </c>
      <c r="P239">
        <v>275.63679558703421</v>
      </c>
      <c r="S239" s="6"/>
      <c r="T239" s="5">
        <f t="shared" si="31"/>
        <v>0</v>
      </c>
      <c r="U239" s="10">
        <f t="shared" si="32"/>
        <v>13.679503064464104</v>
      </c>
      <c r="V239" s="10">
        <f t="shared" si="33"/>
        <v>0</v>
      </c>
      <c r="W239" s="10">
        <f t="shared" si="34"/>
        <v>0</v>
      </c>
      <c r="X239" s="6">
        <f t="shared" si="35"/>
        <v>0</v>
      </c>
      <c r="Y239" s="5">
        <f t="shared" si="36"/>
        <v>0</v>
      </c>
      <c r="Z239" s="10">
        <f t="shared" si="37"/>
        <v>136.79503064464106</v>
      </c>
      <c r="AA239" s="10">
        <f t="shared" si="38"/>
        <v>0</v>
      </c>
      <c r="AB239" s="10">
        <f t="shared" si="39"/>
        <v>0</v>
      </c>
      <c r="AC239" s="6">
        <f t="shared" si="40"/>
        <v>0</v>
      </c>
    </row>
    <row r="240" spans="1:29" x14ac:dyDescent="0.25">
      <c r="A240" t="s">
        <v>114</v>
      </c>
      <c r="B240" t="s">
        <v>77</v>
      </c>
      <c r="C240" s="1" t="s">
        <v>7</v>
      </c>
      <c r="D240">
        <v>0</v>
      </c>
      <c r="E240">
        <v>0</v>
      </c>
      <c r="F240">
        <v>0</v>
      </c>
      <c r="G240">
        <v>0</v>
      </c>
      <c r="H240">
        <v>0</v>
      </c>
      <c r="I240" s="1">
        <v>45419</v>
      </c>
      <c r="J240" s="1">
        <v>45419</v>
      </c>
      <c r="K240" s="1">
        <v>45419</v>
      </c>
      <c r="L240" s="1">
        <v>45419</v>
      </c>
      <c r="M240" s="1">
        <v>45419</v>
      </c>
      <c r="N240" s="5"/>
      <c r="S240" s="6"/>
      <c r="T240" s="5">
        <f t="shared" si="31"/>
        <v>0</v>
      </c>
      <c r="U240" s="10">
        <f t="shared" si="32"/>
        <v>0</v>
      </c>
      <c r="V240" s="10">
        <f t="shared" si="33"/>
        <v>0</v>
      </c>
      <c r="W240" s="10">
        <f t="shared" si="34"/>
        <v>0</v>
      </c>
      <c r="X240" s="6">
        <f t="shared" si="35"/>
        <v>0</v>
      </c>
      <c r="Y240" s="5">
        <f t="shared" si="36"/>
        <v>0</v>
      </c>
      <c r="Z240" s="10">
        <f t="shared" si="37"/>
        <v>0</v>
      </c>
      <c r="AA240" s="10">
        <f t="shared" si="38"/>
        <v>0</v>
      </c>
      <c r="AB240" s="10">
        <f t="shared" si="39"/>
        <v>0</v>
      </c>
      <c r="AC240" s="6">
        <f t="shared" si="40"/>
        <v>0</v>
      </c>
    </row>
    <row r="241" spans="1:29" x14ac:dyDescent="0.25">
      <c r="A241" t="s">
        <v>114</v>
      </c>
      <c r="B241" t="s">
        <v>214</v>
      </c>
      <c r="C241" s="1" t="s">
        <v>7</v>
      </c>
      <c r="D241">
        <v>0</v>
      </c>
      <c r="E241">
        <v>0</v>
      </c>
      <c r="F241">
        <v>0</v>
      </c>
      <c r="G241">
        <v>0</v>
      </c>
      <c r="H241">
        <v>0</v>
      </c>
      <c r="I241" s="1">
        <v>45419</v>
      </c>
      <c r="J241" s="1">
        <v>45419</v>
      </c>
      <c r="K241" s="1">
        <v>45419</v>
      </c>
      <c r="L241" s="1">
        <v>45419</v>
      </c>
      <c r="M241" s="1">
        <v>45419</v>
      </c>
      <c r="N241" s="5"/>
      <c r="S241" s="6"/>
      <c r="T241" s="5">
        <f t="shared" si="31"/>
        <v>0</v>
      </c>
      <c r="U241" s="10">
        <f t="shared" si="32"/>
        <v>0</v>
      </c>
      <c r="V241" s="10">
        <f t="shared" si="33"/>
        <v>0</v>
      </c>
      <c r="W241" s="10">
        <f t="shared" si="34"/>
        <v>0</v>
      </c>
      <c r="X241" s="6">
        <f t="shared" si="35"/>
        <v>0</v>
      </c>
      <c r="Y241" s="5">
        <f t="shared" si="36"/>
        <v>0</v>
      </c>
      <c r="Z241" s="10">
        <f t="shared" si="37"/>
        <v>0</v>
      </c>
      <c r="AA241" s="10">
        <f t="shared" si="38"/>
        <v>0</v>
      </c>
      <c r="AB241" s="10">
        <f t="shared" si="39"/>
        <v>0</v>
      </c>
      <c r="AC241" s="6">
        <f t="shared" si="40"/>
        <v>0</v>
      </c>
    </row>
    <row r="242" spans="1:29" x14ac:dyDescent="0.25">
      <c r="A242" t="s">
        <v>114</v>
      </c>
      <c r="B242" t="s">
        <v>215</v>
      </c>
      <c r="C242" s="1" t="s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45419</v>
      </c>
      <c r="J242" s="1">
        <v>45419</v>
      </c>
      <c r="K242" s="1">
        <v>45419</v>
      </c>
      <c r="L242" s="1">
        <v>45419</v>
      </c>
      <c r="M242" s="1">
        <v>45419</v>
      </c>
      <c r="N242" s="5"/>
      <c r="S242" s="6"/>
      <c r="T242" s="5">
        <f t="shared" si="31"/>
        <v>0</v>
      </c>
      <c r="U242" s="10">
        <f t="shared" si="32"/>
        <v>0</v>
      </c>
      <c r="V242" s="10">
        <f t="shared" si="33"/>
        <v>0</v>
      </c>
      <c r="W242" s="10">
        <f t="shared" si="34"/>
        <v>0</v>
      </c>
      <c r="X242" s="6">
        <f t="shared" si="35"/>
        <v>0</v>
      </c>
      <c r="Y242" s="5">
        <f t="shared" si="36"/>
        <v>0</v>
      </c>
      <c r="Z242" s="10">
        <f t="shared" si="37"/>
        <v>0</v>
      </c>
      <c r="AA242" s="10">
        <f t="shared" si="38"/>
        <v>0</v>
      </c>
      <c r="AB242" s="10">
        <f t="shared" si="39"/>
        <v>0</v>
      </c>
      <c r="AC242" s="6">
        <f t="shared" si="40"/>
        <v>0</v>
      </c>
    </row>
    <row r="243" spans="1:29" x14ac:dyDescent="0.25">
      <c r="A243" t="s">
        <v>114</v>
      </c>
      <c r="B243" t="s">
        <v>176</v>
      </c>
      <c r="C243" s="1" t="s">
        <v>7</v>
      </c>
      <c r="D243">
        <v>0</v>
      </c>
      <c r="E243">
        <v>0</v>
      </c>
      <c r="F243">
        <v>0</v>
      </c>
      <c r="G243">
        <v>0</v>
      </c>
      <c r="H243">
        <v>0</v>
      </c>
      <c r="I243" s="1">
        <v>45419</v>
      </c>
      <c r="J243" s="1">
        <v>45419</v>
      </c>
      <c r="K243" s="1">
        <v>45419</v>
      </c>
      <c r="L243" s="1">
        <v>45419</v>
      </c>
      <c r="M243" s="1">
        <v>45419</v>
      </c>
      <c r="N243" s="5"/>
      <c r="S243" s="6"/>
      <c r="T243" s="5">
        <f t="shared" si="31"/>
        <v>0</v>
      </c>
      <c r="U243" s="10">
        <f t="shared" si="32"/>
        <v>0</v>
      </c>
      <c r="V243" s="10">
        <f t="shared" si="33"/>
        <v>0</v>
      </c>
      <c r="W243" s="10">
        <f t="shared" si="34"/>
        <v>0</v>
      </c>
      <c r="X243" s="6">
        <f t="shared" si="35"/>
        <v>0</v>
      </c>
      <c r="Y243" s="5">
        <f t="shared" si="36"/>
        <v>0</v>
      </c>
      <c r="Z243" s="10">
        <f t="shared" si="37"/>
        <v>0</v>
      </c>
      <c r="AA243" s="10">
        <f t="shared" si="38"/>
        <v>0</v>
      </c>
      <c r="AB243" s="10">
        <f t="shared" si="39"/>
        <v>0</v>
      </c>
      <c r="AC243" s="6">
        <f t="shared" si="40"/>
        <v>0</v>
      </c>
    </row>
    <row r="244" spans="1:29" x14ac:dyDescent="0.25">
      <c r="A244" t="s">
        <v>114</v>
      </c>
      <c r="B244" t="s">
        <v>128</v>
      </c>
      <c r="C244" s="1" t="s">
        <v>7</v>
      </c>
      <c r="D244">
        <v>0</v>
      </c>
      <c r="E244">
        <v>0</v>
      </c>
      <c r="F244">
        <v>0</v>
      </c>
      <c r="G244">
        <v>0</v>
      </c>
      <c r="H244">
        <v>0</v>
      </c>
      <c r="I244" s="1">
        <v>45419</v>
      </c>
      <c r="J244" s="1">
        <v>45419</v>
      </c>
      <c r="K244" s="1">
        <v>45419</v>
      </c>
      <c r="L244" s="1">
        <v>45419</v>
      </c>
      <c r="M244" s="1">
        <v>45419</v>
      </c>
      <c r="N244" s="5"/>
      <c r="S244" s="6"/>
      <c r="T244" s="5">
        <f t="shared" si="31"/>
        <v>0</v>
      </c>
      <c r="U244" s="10">
        <f t="shared" si="32"/>
        <v>0</v>
      </c>
      <c r="V244" s="10">
        <f t="shared" si="33"/>
        <v>0</v>
      </c>
      <c r="W244" s="10">
        <f t="shared" si="34"/>
        <v>0</v>
      </c>
      <c r="X244" s="6">
        <f t="shared" si="35"/>
        <v>0</v>
      </c>
      <c r="Y244" s="5">
        <f t="shared" si="36"/>
        <v>0</v>
      </c>
      <c r="Z244" s="10">
        <f t="shared" si="37"/>
        <v>0</v>
      </c>
      <c r="AA244" s="10">
        <f t="shared" si="38"/>
        <v>0</v>
      </c>
      <c r="AB244" s="10">
        <f t="shared" si="39"/>
        <v>0</v>
      </c>
      <c r="AC244" s="6">
        <f t="shared" si="40"/>
        <v>0</v>
      </c>
    </row>
    <row r="245" spans="1:29" x14ac:dyDescent="0.25">
      <c r="A245" t="s">
        <v>114</v>
      </c>
      <c r="B245" t="s">
        <v>216</v>
      </c>
      <c r="C245" s="1" t="s">
        <v>7</v>
      </c>
      <c r="D245">
        <v>0</v>
      </c>
      <c r="E245">
        <v>0</v>
      </c>
      <c r="F245">
        <v>0</v>
      </c>
      <c r="G245">
        <v>0</v>
      </c>
      <c r="H245">
        <v>0</v>
      </c>
      <c r="I245" s="1">
        <v>45419</v>
      </c>
      <c r="J245" s="1">
        <v>45419</v>
      </c>
      <c r="K245" s="1">
        <v>45419</v>
      </c>
      <c r="L245" s="1">
        <v>45419</v>
      </c>
      <c r="M245" s="1">
        <v>45419</v>
      </c>
      <c r="N245" s="5"/>
      <c r="S245" s="6"/>
      <c r="T245" s="5">
        <f t="shared" si="31"/>
        <v>0</v>
      </c>
      <c r="U245" s="10">
        <f t="shared" si="32"/>
        <v>0</v>
      </c>
      <c r="V245" s="10">
        <f t="shared" si="33"/>
        <v>0</v>
      </c>
      <c r="W245" s="10">
        <f t="shared" si="34"/>
        <v>0</v>
      </c>
      <c r="X245" s="6">
        <f t="shared" si="35"/>
        <v>0</v>
      </c>
      <c r="Y245" s="5">
        <f t="shared" si="36"/>
        <v>0</v>
      </c>
      <c r="Z245" s="10">
        <f t="shared" si="37"/>
        <v>0</v>
      </c>
      <c r="AA245" s="10">
        <f t="shared" si="38"/>
        <v>0</v>
      </c>
      <c r="AB245" s="10">
        <f t="shared" si="39"/>
        <v>0</v>
      </c>
      <c r="AC245" s="6">
        <f t="shared" si="40"/>
        <v>0</v>
      </c>
    </row>
    <row r="246" spans="1:29" x14ac:dyDescent="0.25">
      <c r="A246" t="s">
        <v>114</v>
      </c>
      <c r="B246" t="s">
        <v>217</v>
      </c>
      <c r="C246" s="1" t="s">
        <v>7</v>
      </c>
      <c r="D246">
        <v>0</v>
      </c>
      <c r="E246">
        <v>0</v>
      </c>
      <c r="F246">
        <v>0</v>
      </c>
      <c r="G246">
        <v>0</v>
      </c>
      <c r="H246">
        <v>0</v>
      </c>
      <c r="I246" s="1">
        <v>45419</v>
      </c>
      <c r="J246" s="1">
        <v>45419</v>
      </c>
      <c r="K246" s="1">
        <v>45419</v>
      </c>
      <c r="L246" s="1">
        <v>45419</v>
      </c>
      <c r="M246" s="1">
        <v>45419</v>
      </c>
      <c r="N246" s="5"/>
      <c r="S246" s="6"/>
      <c r="T246" s="5">
        <f t="shared" si="31"/>
        <v>0</v>
      </c>
      <c r="U246" s="10">
        <f t="shared" si="32"/>
        <v>0</v>
      </c>
      <c r="V246" s="10">
        <f t="shared" si="33"/>
        <v>0</v>
      </c>
      <c r="W246" s="10">
        <f t="shared" si="34"/>
        <v>0</v>
      </c>
      <c r="X246" s="6">
        <f t="shared" si="35"/>
        <v>0</v>
      </c>
      <c r="Y246" s="5">
        <f t="shared" si="36"/>
        <v>0</v>
      </c>
      <c r="Z246" s="10">
        <f t="shared" si="37"/>
        <v>0</v>
      </c>
      <c r="AA246" s="10">
        <f t="shared" si="38"/>
        <v>0</v>
      </c>
      <c r="AB246" s="10">
        <f t="shared" si="39"/>
        <v>0</v>
      </c>
      <c r="AC246" s="6">
        <f t="shared" si="40"/>
        <v>0</v>
      </c>
    </row>
    <row r="247" spans="1:29" x14ac:dyDescent="0.25">
      <c r="A247" t="s">
        <v>114</v>
      </c>
      <c r="B247" t="s">
        <v>218</v>
      </c>
      <c r="C247" s="1" t="s">
        <v>7</v>
      </c>
      <c r="D247">
        <v>0</v>
      </c>
      <c r="E247">
        <v>0</v>
      </c>
      <c r="F247">
        <v>0</v>
      </c>
      <c r="G247">
        <v>0</v>
      </c>
      <c r="H247">
        <v>0</v>
      </c>
      <c r="I247" s="1">
        <v>45419</v>
      </c>
      <c r="J247" s="1">
        <v>45419</v>
      </c>
      <c r="K247" s="1">
        <v>45419</v>
      </c>
      <c r="L247" s="1">
        <v>45419</v>
      </c>
      <c r="M247" s="1">
        <v>45419</v>
      </c>
      <c r="N247" s="5"/>
      <c r="S247" s="6"/>
      <c r="T247" s="5">
        <f t="shared" si="31"/>
        <v>0</v>
      </c>
      <c r="U247" s="10">
        <f t="shared" si="32"/>
        <v>0</v>
      </c>
      <c r="V247" s="10">
        <f t="shared" si="33"/>
        <v>0</v>
      </c>
      <c r="W247" s="10">
        <f t="shared" si="34"/>
        <v>0</v>
      </c>
      <c r="X247" s="6">
        <f t="shared" si="35"/>
        <v>0</v>
      </c>
      <c r="Y247" s="5">
        <f t="shared" si="36"/>
        <v>0</v>
      </c>
      <c r="Z247" s="10">
        <f t="shared" si="37"/>
        <v>0</v>
      </c>
      <c r="AA247" s="10">
        <f t="shared" si="38"/>
        <v>0</v>
      </c>
      <c r="AB247" s="10">
        <f t="shared" si="39"/>
        <v>0</v>
      </c>
      <c r="AC247" s="6">
        <f t="shared" si="40"/>
        <v>0</v>
      </c>
    </row>
    <row r="248" spans="1:29" x14ac:dyDescent="0.25">
      <c r="A248" t="s">
        <v>114</v>
      </c>
      <c r="B248" t="s">
        <v>162</v>
      </c>
      <c r="C248" s="1" t="s">
        <v>7</v>
      </c>
      <c r="D248">
        <v>0</v>
      </c>
      <c r="E248">
        <v>0</v>
      </c>
      <c r="F248">
        <v>0</v>
      </c>
      <c r="G248">
        <v>0</v>
      </c>
      <c r="H248">
        <v>0</v>
      </c>
      <c r="I248" s="1">
        <v>45419</v>
      </c>
      <c r="J248" s="1">
        <v>45419</v>
      </c>
      <c r="K248" s="1">
        <v>45419</v>
      </c>
      <c r="L248" s="1">
        <v>45419</v>
      </c>
      <c r="M248" s="1">
        <v>45419</v>
      </c>
      <c r="N248" s="5"/>
      <c r="S248" s="6"/>
      <c r="T248" s="5">
        <f t="shared" si="31"/>
        <v>0</v>
      </c>
      <c r="U248" s="10">
        <f t="shared" si="32"/>
        <v>0</v>
      </c>
      <c r="V248" s="10">
        <f t="shared" si="33"/>
        <v>0</v>
      </c>
      <c r="W248" s="10">
        <f t="shared" si="34"/>
        <v>0</v>
      </c>
      <c r="X248" s="6">
        <f t="shared" si="35"/>
        <v>0</v>
      </c>
      <c r="Y248" s="5">
        <f t="shared" si="36"/>
        <v>0</v>
      </c>
      <c r="Z248" s="10">
        <f t="shared" si="37"/>
        <v>0</v>
      </c>
      <c r="AA248" s="10">
        <f t="shared" si="38"/>
        <v>0</v>
      </c>
      <c r="AB248" s="10">
        <f t="shared" si="39"/>
        <v>0</v>
      </c>
      <c r="AC248" s="6">
        <f t="shared" si="40"/>
        <v>0</v>
      </c>
    </row>
    <row r="249" spans="1:29" x14ac:dyDescent="0.25">
      <c r="A249" t="s">
        <v>114</v>
      </c>
      <c r="B249" t="s">
        <v>219</v>
      </c>
      <c r="C249" s="1" t="s">
        <v>7</v>
      </c>
      <c r="D249">
        <v>0</v>
      </c>
      <c r="E249">
        <v>37</v>
      </c>
      <c r="F249">
        <v>0</v>
      </c>
      <c r="G249">
        <v>0</v>
      </c>
      <c r="H249">
        <v>0</v>
      </c>
      <c r="I249" s="1">
        <v>45419</v>
      </c>
      <c r="J249" s="1">
        <v>45456</v>
      </c>
      <c r="K249" s="1">
        <v>45419</v>
      </c>
      <c r="L249" s="1">
        <v>45419</v>
      </c>
      <c r="M249" s="1">
        <v>45419</v>
      </c>
      <c r="N249" s="5">
        <v>53.960259017695471</v>
      </c>
      <c r="P249">
        <v>50.045417993182632</v>
      </c>
      <c r="S249" s="6"/>
      <c r="T249" s="5">
        <f t="shared" si="31"/>
        <v>0</v>
      </c>
      <c r="U249" s="10">
        <f t="shared" si="32"/>
        <v>-7.2550449085669211</v>
      </c>
      <c r="V249" s="10">
        <f t="shared" si="33"/>
        <v>0</v>
      </c>
      <c r="W249" s="10">
        <f t="shared" si="34"/>
        <v>0</v>
      </c>
      <c r="X249" s="6">
        <f t="shared" si="35"/>
        <v>0</v>
      </c>
      <c r="Y249" s="5">
        <f t="shared" si="36"/>
        <v>0</v>
      </c>
      <c r="Z249" s="10">
        <f t="shared" si="37"/>
        <v>-72.5504490856692</v>
      </c>
      <c r="AA249" s="10">
        <f t="shared" si="38"/>
        <v>0</v>
      </c>
      <c r="AB249" s="10">
        <f t="shared" si="39"/>
        <v>0</v>
      </c>
      <c r="AC249" s="6">
        <f t="shared" si="40"/>
        <v>0</v>
      </c>
    </row>
    <row r="250" spans="1:29" x14ac:dyDescent="0.25">
      <c r="A250" t="s">
        <v>114</v>
      </c>
      <c r="B250" t="s">
        <v>220</v>
      </c>
      <c r="C250" s="1" t="s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 s="1">
        <v>45419</v>
      </c>
      <c r="J250" s="1">
        <v>45419</v>
      </c>
      <c r="K250" s="1">
        <v>45419</v>
      </c>
      <c r="L250" s="1">
        <v>45419</v>
      </c>
      <c r="M250" s="1">
        <v>45419</v>
      </c>
      <c r="N250" s="5"/>
      <c r="S250" s="6"/>
      <c r="T250" s="5">
        <f t="shared" si="31"/>
        <v>0</v>
      </c>
      <c r="U250" s="10">
        <f t="shared" si="32"/>
        <v>0</v>
      </c>
      <c r="V250" s="10">
        <f t="shared" si="33"/>
        <v>0</v>
      </c>
      <c r="W250" s="10">
        <f t="shared" si="34"/>
        <v>0</v>
      </c>
      <c r="X250" s="6">
        <f t="shared" si="35"/>
        <v>0</v>
      </c>
      <c r="Y250" s="5">
        <f t="shared" si="36"/>
        <v>0</v>
      </c>
      <c r="Z250" s="10">
        <f t="shared" si="37"/>
        <v>0</v>
      </c>
      <c r="AA250" s="10">
        <f t="shared" si="38"/>
        <v>0</v>
      </c>
      <c r="AB250" s="10">
        <f t="shared" si="39"/>
        <v>0</v>
      </c>
      <c r="AC250" s="6">
        <f t="shared" si="40"/>
        <v>0</v>
      </c>
    </row>
    <row r="251" spans="1:29" x14ac:dyDescent="0.25">
      <c r="A251" t="s">
        <v>114</v>
      </c>
      <c r="B251" t="s">
        <v>181</v>
      </c>
      <c r="C251" s="1" t="s">
        <v>7</v>
      </c>
      <c r="D251">
        <v>0</v>
      </c>
      <c r="E251">
        <v>0</v>
      </c>
      <c r="F251">
        <v>0</v>
      </c>
      <c r="G251">
        <v>38</v>
      </c>
      <c r="H251">
        <v>0</v>
      </c>
      <c r="I251" s="1">
        <v>45419</v>
      </c>
      <c r="J251" s="1">
        <v>45419</v>
      </c>
      <c r="K251" s="1">
        <v>45419</v>
      </c>
      <c r="L251" s="1">
        <v>45457</v>
      </c>
      <c r="M251" s="1">
        <v>45419</v>
      </c>
      <c r="N251" s="5">
        <v>69.959999084472656</v>
      </c>
      <c r="R251">
        <v>69.639999389648438</v>
      </c>
      <c r="S251" s="6"/>
      <c r="T251" s="5">
        <f t="shared" si="31"/>
        <v>0</v>
      </c>
      <c r="U251" s="10">
        <f t="shared" si="32"/>
        <v>0</v>
      </c>
      <c r="V251" s="10">
        <f t="shared" si="33"/>
        <v>0</v>
      </c>
      <c r="W251" s="10">
        <f t="shared" si="34"/>
        <v>-0.45740380076025877</v>
      </c>
      <c r="X251" s="6">
        <f t="shared" si="35"/>
        <v>0</v>
      </c>
      <c r="Y251" s="5">
        <f t="shared" si="36"/>
        <v>0</v>
      </c>
      <c r="Z251" s="10">
        <f t="shared" si="37"/>
        <v>0</v>
      </c>
      <c r="AA251" s="10">
        <f t="shared" si="38"/>
        <v>0</v>
      </c>
      <c r="AB251" s="10">
        <f t="shared" si="39"/>
        <v>-4.5740380076025877</v>
      </c>
      <c r="AC251" s="6">
        <f t="shared" si="40"/>
        <v>0</v>
      </c>
    </row>
    <row r="252" spans="1:29" x14ac:dyDescent="0.25">
      <c r="A252" t="s">
        <v>114</v>
      </c>
      <c r="B252" t="s">
        <v>221</v>
      </c>
      <c r="C252" s="1" t="s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 s="1">
        <v>45419</v>
      </c>
      <c r="J252" s="1">
        <v>45419</v>
      </c>
      <c r="K252" s="1">
        <v>45419</v>
      </c>
      <c r="L252" s="1">
        <v>45419</v>
      </c>
      <c r="M252" s="1">
        <v>45419</v>
      </c>
      <c r="N252" s="5"/>
      <c r="S252" s="6"/>
      <c r="T252" s="5">
        <f t="shared" si="31"/>
        <v>0</v>
      </c>
      <c r="U252" s="10">
        <f t="shared" si="32"/>
        <v>0</v>
      </c>
      <c r="V252" s="10">
        <f t="shared" si="33"/>
        <v>0</v>
      </c>
      <c r="W252" s="10">
        <f t="shared" si="34"/>
        <v>0</v>
      </c>
      <c r="X252" s="6">
        <f t="shared" si="35"/>
        <v>0</v>
      </c>
      <c r="Y252" s="5">
        <f t="shared" si="36"/>
        <v>0</v>
      </c>
      <c r="Z252" s="10">
        <f t="shared" si="37"/>
        <v>0</v>
      </c>
      <c r="AA252" s="10">
        <f t="shared" si="38"/>
        <v>0</v>
      </c>
      <c r="AB252" s="10">
        <f t="shared" si="39"/>
        <v>0</v>
      </c>
      <c r="AC252" s="6">
        <f t="shared" si="40"/>
        <v>0</v>
      </c>
    </row>
    <row r="253" spans="1:29" x14ac:dyDescent="0.25">
      <c r="A253" t="s">
        <v>114</v>
      </c>
      <c r="B253" t="s">
        <v>222</v>
      </c>
      <c r="C253" s="1" t="s">
        <v>7</v>
      </c>
      <c r="D253">
        <v>0</v>
      </c>
      <c r="E253">
        <v>0</v>
      </c>
      <c r="F253">
        <v>0</v>
      </c>
      <c r="G253">
        <v>0</v>
      </c>
      <c r="H253">
        <v>0</v>
      </c>
      <c r="I253" s="1">
        <v>45419</v>
      </c>
      <c r="J253" s="1">
        <v>45419</v>
      </c>
      <c r="K253" s="1">
        <v>45419</v>
      </c>
      <c r="L253" s="1">
        <v>45419</v>
      </c>
      <c r="M253" s="1">
        <v>45419</v>
      </c>
      <c r="N253" s="5"/>
      <c r="S253" s="6"/>
      <c r="T253" s="5">
        <f t="shared" si="31"/>
        <v>0</v>
      </c>
      <c r="U253" s="10">
        <f t="shared" si="32"/>
        <v>0</v>
      </c>
      <c r="V253" s="10">
        <f t="shared" si="33"/>
        <v>0</v>
      </c>
      <c r="W253" s="10">
        <f t="shared" si="34"/>
        <v>0</v>
      </c>
      <c r="X253" s="6">
        <f t="shared" si="35"/>
        <v>0</v>
      </c>
      <c r="Y253" s="5">
        <f t="shared" si="36"/>
        <v>0</v>
      </c>
      <c r="Z253" s="10">
        <f t="shared" si="37"/>
        <v>0</v>
      </c>
      <c r="AA253" s="10">
        <f t="shared" si="38"/>
        <v>0</v>
      </c>
      <c r="AB253" s="10">
        <f t="shared" si="39"/>
        <v>0</v>
      </c>
      <c r="AC253" s="6">
        <f t="shared" si="40"/>
        <v>0</v>
      </c>
    </row>
    <row r="254" spans="1:29" x14ac:dyDescent="0.25">
      <c r="A254" t="s">
        <v>114</v>
      </c>
      <c r="B254" t="s">
        <v>223</v>
      </c>
      <c r="C254" s="1" t="s">
        <v>7</v>
      </c>
      <c r="D254">
        <v>0</v>
      </c>
      <c r="E254">
        <v>0</v>
      </c>
      <c r="F254">
        <v>0</v>
      </c>
      <c r="G254">
        <v>0</v>
      </c>
      <c r="H254">
        <v>0</v>
      </c>
      <c r="I254" s="1">
        <v>45419</v>
      </c>
      <c r="J254" s="1">
        <v>45419</v>
      </c>
      <c r="K254" s="1">
        <v>45419</v>
      </c>
      <c r="L254" s="1">
        <v>45419</v>
      </c>
      <c r="M254" s="1">
        <v>45419</v>
      </c>
      <c r="N254" s="5"/>
      <c r="S254" s="6"/>
      <c r="T254" s="5">
        <f t="shared" si="31"/>
        <v>0</v>
      </c>
      <c r="U254" s="10">
        <f t="shared" si="32"/>
        <v>0</v>
      </c>
      <c r="V254" s="10">
        <f t="shared" si="33"/>
        <v>0</v>
      </c>
      <c r="W254" s="10">
        <f t="shared" si="34"/>
        <v>0</v>
      </c>
      <c r="X254" s="6">
        <f t="shared" si="35"/>
        <v>0</v>
      </c>
      <c r="Y254" s="5">
        <f t="shared" si="36"/>
        <v>0</v>
      </c>
      <c r="Z254" s="10">
        <f t="shared" si="37"/>
        <v>0</v>
      </c>
      <c r="AA254" s="10">
        <f t="shared" si="38"/>
        <v>0</v>
      </c>
      <c r="AB254" s="10">
        <f t="shared" si="39"/>
        <v>0</v>
      </c>
      <c r="AC254" s="6">
        <f t="shared" si="40"/>
        <v>0</v>
      </c>
    </row>
    <row r="255" spans="1:29" x14ac:dyDescent="0.25">
      <c r="A255" t="s">
        <v>114</v>
      </c>
      <c r="B255" t="s">
        <v>224</v>
      </c>
      <c r="C255" s="1" t="s">
        <v>7</v>
      </c>
      <c r="D255">
        <v>0</v>
      </c>
      <c r="E255">
        <v>37</v>
      </c>
      <c r="F255">
        <v>0</v>
      </c>
      <c r="G255">
        <v>0</v>
      </c>
      <c r="H255">
        <v>0</v>
      </c>
      <c r="I255" s="1">
        <v>45419</v>
      </c>
      <c r="J255" s="1">
        <v>45456</v>
      </c>
      <c r="K255" s="1">
        <v>45419</v>
      </c>
      <c r="L255" s="1">
        <v>45419</v>
      </c>
      <c r="M255" s="1">
        <v>45419</v>
      </c>
      <c r="N255" s="5">
        <v>33.812321069789547</v>
      </c>
      <c r="P255">
        <v>34.71529180613738</v>
      </c>
      <c r="S255" s="6"/>
      <c r="T255" s="5">
        <f t="shared" si="31"/>
        <v>0</v>
      </c>
      <c r="U255" s="10">
        <f t="shared" si="32"/>
        <v>2.6705375667174014</v>
      </c>
      <c r="V255" s="10">
        <f t="shared" si="33"/>
        <v>0</v>
      </c>
      <c r="W255" s="10">
        <f t="shared" si="34"/>
        <v>0</v>
      </c>
      <c r="X255" s="6">
        <f t="shared" si="35"/>
        <v>0</v>
      </c>
      <c r="Y255" s="5">
        <f t="shared" si="36"/>
        <v>0</v>
      </c>
      <c r="Z255" s="10">
        <f t="shared" si="37"/>
        <v>26.70537566717401</v>
      </c>
      <c r="AA255" s="10">
        <f t="shared" si="38"/>
        <v>0</v>
      </c>
      <c r="AB255" s="10">
        <f t="shared" si="39"/>
        <v>0</v>
      </c>
      <c r="AC255" s="6">
        <f t="shared" si="40"/>
        <v>0</v>
      </c>
    </row>
    <row r="256" spans="1:29" x14ac:dyDescent="0.25">
      <c r="A256" t="s">
        <v>114</v>
      </c>
      <c r="B256" t="s">
        <v>225</v>
      </c>
      <c r="C256" s="1" t="s">
        <v>7</v>
      </c>
      <c r="D256">
        <v>0</v>
      </c>
      <c r="E256">
        <v>0</v>
      </c>
      <c r="F256">
        <v>0</v>
      </c>
      <c r="G256">
        <v>0</v>
      </c>
      <c r="H256">
        <v>0</v>
      </c>
      <c r="I256" s="1">
        <v>45419</v>
      </c>
      <c r="J256" s="1">
        <v>45419</v>
      </c>
      <c r="K256" s="1">
        <v>45419</v>
      </c>
      <c r="L256" s="1">
        <v>45419</v>
      </c>
      <c r="M256" s="1">
        <v>45419</v>
      </c>
      <c r="N256" s="5"/>
      <c r="S256" s="6"/>
      <c r="T256" s="5">
        <f t="shared" si="31"/>
        <v>0</v>
      </c>
      <c r="U256" s="10">
        <f t="shared" si="32"/>
        <v>0</v>
      </c>
      <c r="V256" s="10">
        <f t="shared" si="33"/>
        <v>0</v>
      </c>
      <c r="W256" s="10">
        <f t="shared" si="34"/>
        <v>0</v>
      </c>
      <c r="X256" s="6">
        <f t="shared" si="35"/>
        <v>0</v>
      </c>
      <c r="Y256" s="5">
        <f t="shared" si="36"/>
        <v>0</v>
      </c>
      <c r="Z256" s="10">
        <f t="shared" si="37"/>
        <v>0</v>
      </c>
      <c r="AA256" s="10">
        <f t="shared" si="38"/>
        <v>0</v>
      </c>
      <c r="AB256" s="10">
        <f t="shared" si="39"/>
        <v>0</v>
      </c>
      <c r="AC256" s="6">
        <f t="shared" si="40"/>
        <v>0</v>
      </c>
    </row>
    <row r="257" spans="1:29" x14ac:dyDescent="0.25">
      <c r="A257" t="s">
        <v>114</v>
      </c>
      <c r="B257" t="s">
        <v>226</v>
      </c>
      <c r="C257" s="1" t="s">
        <v>7</v>
      </c>
      <c r="D257">
        <v>0</v>
      </c>
      <c r="E257">
        <v>0</v>
      </c>
      <c r="F257">
        <v>0</v>
      </c>
      <c r="G257">
        <v>0</v>
      </c>
      <c r="H257">
        <v>0</v>
      </c>
      <c r="I257" s="1">
        <v>45419</v>
      </c>
      <c r="J257" s="1">
        <v>45419</v>
      </c>
      <c r="K257" s="1">
        <v>45419</v>
      </c>
      <c r="L257" s="1">
        <v>45419</v>
      </c>
      <c r="M257" s="1">
        <v>45419</v>
      </c>
      <c r="N257" s="5"/>
      <c r="S257" s="6"/>
      <c r="T257" s="5">
        <f t="shared" si="31"/>
        <v>0</v>
      </c>
      <c r="U257" s="10">
        <f t="shared" si="32"/>
        <v>0</v>
      </c>
      <c r="V257" s="10">
        <f t="shared" si="33"/>
        <v>0</v>
      </c>
      <c r="W257" s="10">
        <f t="shared" si="34"/>
        <v>0</v>
      </c>
      <c r="X257" s="6">
        <f t="shared" si="35"/>
        <v>0</v>
      </c>
      <c r="Y257" s="5">
        <f t="shared" si="36"/>
        <v>0</v>
      </c>
      <c r="Z257" s="10">
        <f t="shared" si="37"/>
        <v>0</v>
      </c>
      <c r="AA257" s="10">
        <f t="shared" si="38"/>
        <v>0</v>
      </c>
      <c r="AB257" s="10">
        <f t="shared" si="39"/>
        <v>0</v>
      </c>
      <c r="AC257" s="6">
        <f t="shared" si="40"/>
        <v>0</v>
      </c>
    </row>
    <row r="258" spans="1:29" x14ac:dyDescent="0.25">
      <c r="A258" t="s">
        <v>114</v>
      </c>
      <c r="B258" t="s">
        <v>147</v>
      </c>
      <c r="C258" s="1" t="s">
        <v>7</v>
      </c>
      <c r="D258">
        <v>0</v>
      </c>
      <c r="E258">
        <v>0</v>
      </c>
      <c r="F258">
        <v>0</v>
      </c>
      <c r="G258">
        <v>0</v>
      </c>
      <c r="H258">
        <v>0</v>
      </c>
      <c r="I258" s="1">
        <v>45419</v>
      </c>
      <c r="J258" s="1">
        <v>45419</v>
      </c>
      <c r="K258" s="1">
        <v>45419</v>
      </c>
      <c r="L258" s="1">
        <v>45419</v>
      </c>
      <c r="M258" s="1">
        <v>45419</v>
      </c>
      <c r="N258" s="5"/>
      <c r="S258" s="6"/>
      <c r="T258" s="5">
        <f t="shared" ref="T258:T321" si="41">IF((ISBLANK(O258)),0,((O258/$N258)-1)*100)</f>
        <v>0</v>
      </c>
      <c r="U258" s="10">
        <f t="shared" ref="U258:U321" si="42">IF((ISBLANK(P258)),0,((P258/$N258)-1)*100)</f>
        <v>0</v>
      </c>
      <c r="V258" s="10">
        <f t="shared" ref="V258:V321" si="43">IF((ISBLANK(Q258)),0,((Q258/$N258)-1)*100)</f>
        <v>0</v>
      </c>
      <c r="W258" s="10">
        <f t="shared" ref="W258:W321" si="44">IF((ISBLANK(R258)),0,((R258/$N258)-1)*100)</f>
        <v>0</v>
      </c>
      <c r="X258" s="6">
        <f t="shared" ref="X258:X321" si="45">IF((ISBLANK(S258)),0,((S258/$N258)-1)*100)</f>
        <v>0</v>
      </c>
      <c r="Y258" s="5">
        <f t="shared" si="36"/>
        <v>0</v>
      </c>
      <c r="Z258" s="10">
        <f t="shared" si="37"/>
        <v>0</v>
      </c>
      <c r="AA258" s="10">
        <f t="shared" si="38"/>
        <v>0</v>
      </c>
      <c r="AB258" s="10">
        <f t="shared" si="39"/>
        <v>0</v>
      </c>
      <c r="AC258" s="6">
        <f t="shared" si="40"/>
        <v>0</v>
      </c>
    </row>
    <row r="259" spans="1:29" x14ac:dyDescent="0.25">
      <c r="A259" t="s">
        <v>114</v>
      </c>
      <c r="B259" t="s">
        <v>183</v>
      </c>
      <c r="C259" s="1" t="s">
        <v>7</v>
      </c>
      <c r="D259">
        <v>0</v>
      </c>
      <c r="E259">
        <v>37</v>
      </c>
      <c r="F259">
        <v>0</v>
      </c>
      <c r="G259">
        <v>0</v>
      </c>
      <c r="H259">
        <v>34</v>
      </c>
      <c r="I259" s="1">
        <v>45419</v>
      </c>
      <c r="J259" s="1">
        <v>45456</v>
      </c>
      <c r="K259" s="1">
        <v>45419</v>
      </c>
      <c r="L259" s="1">
        <v>45419</v>
      </c>
      <c r="M259" s="1">
        <v>45453</v>
      </c>
      <c r="N259" s="5">
        <v>230.75954929188279</v>
      </c>
      <c r="P259">
        <v>236.21952750686171</v>
      </c>
      <c r="S259" s="6">
        <v>235.1264707300856</v>
      </c>
      <c r="T259" s="5">
        <f t="shared" si="41"/>
        <v>0</v>
      </c>
      <c r="U259" s="10">
        <f t="shared" si="42"/>
        <v>2.3660898245527084</v>
      </c>
      <c r="V259" s="10">
        <f t="shared" si="43"/>
        <v>0</v>
      </c>
      <c r="W259" s="10">
        <f t="shared" si="44"/>
        <v>0</v>
      </c>
      <c r="X259" s="6">
        <f t="shared" si="45"/>
        <v>1.8924120157121527</v>
      </c>
      <c r="Y259" s="5">
        <f t="shared" ref="Y259:Y322" si="46">1000 * T259/100</f>
        <v>0</v>
      </c>
      <c r="Z259" s="10">
        <f t="shared" ref="Z259:Z322" si="47">1000 * U259/100</f>
        <v>23.660898245527083</v>
      </c>
      <c r="AA259" s="10">
        <f t="shared" ref="AA259:AA322" si="48">1000 * V259/100</f>
        <v>0</v>
      </c>
      <c r="AB259" s="10">
        <f t="shared" ref="AB259:AB322" si="49">1000 * W259/100</f>
        <v>0</v>
      </c>
      <c r="AC259" s="6">
        <f t="shared" ref="AC259:AC322" si="50">1000 * X259/100</f>
        <v>18.924120157121525</v>
      </c>
    </row>
    <row r="260" spans="1:29" x14ac:dyDescent="0.25">
      <c r="A260" t="s">
        <v>114</v>
      </c>
      <c r="B260" t="s">
        <v>227</v>
      </c>
      <c r="C260" s="1" t="s">
        <v>7</v>
      </c>
      <c r="D260">
        <v>0</v>
      </c>
      <c r="E260">
        <v>0</v>
      </c>
      <c r="F260">
        <v>0</v>
      </c>
      <c r="G260">
        <v>0</v>
      </c>
      <c r="H260">
        <v>0</v>
      </c>
      <c r="I260" s="1">
        <v>45419</v>
      </c>
      <c r="J260" s="1">
        <v>45419</v>
      </c>
      <c r="K260" s="1">
        <v>45419</v>
      </c>
      <c r="L260" s="1">
        <v>45419</v>
      </c>
      <c r="M260" s="1">
        <v>45419</v>
      </c>
      <c r="N260" s="5"/>
      <c r="S260" s="6"/>
      <c r="T260" s="5">
        <f t="shared" si="41"/>
        <v>0</v>
      </c>
      <c r="U260" s="10">
        <f t="shared" si="42"/>
        <v>0</v>
      </c>
      <c r="V260" s="10">
        <f t="shared" si="43"/>
        <v>0</v>
      </c>
      <c r="W260" s="10">
        <f t="shared" si="44"/>
        <v>0</v>
      </c>
      <c r="X260" s="6">
        <f t="shared" si="45"/>
        <v>0</v>
      </c>
      <c r="Y260" s="5">
        <f t="shared" si="46"/>
        <v>0</v>
      </c>
      <c r="Z260" s="10">
        <f t="shared" si="47"/>
        <v>0</v>
      </c>
      <c r="AA260" s="10">
        <f t="shared" si="48"/>
        <v>0</v>
      </c>
      <c r="AB260" s="10">
        <f t="shared" si="49"/>
        <v>0</v>
      </c>
      <c r="AC260" s="6">
        <f t="shared" si="50"/>
        <v>0</v>
      </c>
    </row>
    <row r="261" spans="1:29" x14ac:dyDescent="0.25">
      <c r="A261" t="s">
        <v>114</v>
      </c>
      <c r="B261" t="s">
        <v>172</v>
      </c>
      <c r="C261" s="1" t="s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 s="1">
        <v>45419</v>
      </c>
      <c r="J261" s="1">
        <v>45419</v>
      </c>
      <c r="K261" s="1">
        <v>45419</v>
      </c>
      <c r="L261" s="1">
        <v>45419</v>
      </c>
      <c r="M261" s="1">
        <v>45419</v>
      </c>
      <c r="N261" s="5"/>
      <c r="S261" s="6"/>
      <c r="T261" s="5">
        <f t="shared" si="41"/>
        <v>0</v>
      </c>
      <c r="U261" s="10">
        <f t="shared" si="42"/>
        <v>0</v>
      </c>
      <c r="V261" s="10">
        <f t="shared" si="43"/>
        <v>0</v>
      </c>
      <c r="W261" s="10">
        <f t="shared" si="44"/>
        <v>0</v>
      </c>
      <c r="X261" s="6">
        <f t="shared" si="45"/>
        <v>0</v>
      </c>
      <c r="Y261" s="5">
        <f t="shared" si="46"/>
        <v>0</v>
      </c>
      <c r="Z261" s="10">
        <f t="shared" si="47"/>
        <v>0</v>
      </c>
      <c r="AA261" s="10">
        <f t="shared" si="48"/>
        <v>0</v>
      </c>
      <c r="AB261" s="10">
        <f t="shared" si="49"/>
        <v>0</v>
      </c>
      <c r="AC261" s="6">
        <f t="shared" si="50"/>
        <v>0</v>
      </c>
    </row>
    <row r="262" spans="1:29" x14ac:dyDescent="0.25">
      <c r="A262" t="s">
        <v>114</v>
      </c>
      <c r="B262" t="s">
        <v>228</v>
      </c>
      <c r="C262" s="1" t="s">
        <v>7</v>
      </c>
      <c r="D262">
        <v>0</v>
      </c>
      <c r="E262">
        <v>0</v>
      </c>
      <c r="F262">
        <v>0</v>
      </c>
      <c r="G262">
        <v>0</v>
      </c>
      <c r="H262">
        <v>0</v>
      </c>
      <c r="I262" s="1">
        <v>45419</v>
      </c>
      <c r="J262" s="1">
        <v>45419</v>
      </c>
      <c r="K262" s="1">
        <v>45419</v>
      </c>
      <c r="L262" s="1">
        <v>45419</v>
      </c>
      <c r="M262" s="1">
        <v>45419</v>
      </c>
      <c r="N262" s="5"/>
      <c r="S262" s="6"/>
      <c r="T262" s="5">
        <f t="shared" si="41"/>
        <v>0</v>
      </c>
      <c r="U262" s="10">
        <f t="shared" si="42"/>
        <v>0</v>
      </c>
      <c r="V262" s="10">
        <f t="shared" si="43"/>
        <v>0</v>
      </c>
      <c r="W262" s="10">
        <f t="shared" si="44"/>
        <v>0</v>
      </c>
      <c r="X262" s="6">
        <f t="shared" si="45"/>
        <v>0</v>
      </c>
      <c r="Y262" s="5">
        <f t="shared" si="46"/>
        <v>0</v>
      </c>
      <c r="Z262" s="10">
        <f t="shared" si="47"/>
        <v>0</v>
      </c>
      <c r="AA262" s="10">
        <f t="shared" si="48"/>
        <v>0</v>
      </c>
      <c r="AB262" s="10">
        <f t="shared" si="49"/>
        <v>0</v>
      </c>
      <c r="AC262" s="6">
        <f t="shared" si="50"/>
        <v>0</v>
      </c>
    </row>
    <row r="263" spans="1:29" x14ac:dyDescent="0.25">
      <c r="A263" t="s">
        <v>114</v>
      </c>
      <c r="B263" t="s">
        <v>229</v>
      </c>
      <c r="C263" s="1" t="s">
        <v>7</v>
      </c>
      <c r="D263">
        <v>0</v>
      </c>
      <c r="E263">
        <v>0</v>
      </c>
      <c r="F263">
        <v>0</v>
      </c>
      <c r="G263">
        <v>0</v>
      </c>
      <c r="H263">
        <v>0</v>
      </c>
      <c r="I263" s="1">
        <v>45419</v>
      </c>
      <c r="J263" s="1">
        <v>45419</v>
      </c>
      <c r="K263" s="1">
        <v>45419</v>
      </c>
      <c r="L263" s="1">
        <v>45419</v>
      </c>
      <c r="M263" s="1">
        <v>45419</v>
      </c>
      <c r="N263" s="5"/>
      <c r="S263" s="6"/>
      <c r="T263" s="5">
        <f t="shared" si="41"/>
        <v>0</v>
      </c>
      <c r="U263" s="10">
        <f t="shared" si="42"/>
        <v>0</v>
      </c>
      <c r="V263" s="10">
        <f t="shared" si="43"/>
        <v>0</v>
      </c>
      <c r="W263" s="10">
        <f t="shared" si="44"/>
        <v>0</v>
      </c>
      <c r="X263" s="6">
        <f t="shared" si="45"/>
        <v>0</v>
      </c>
      <c r="Y263" s="5">
        <f t="shared" si="46"/>
        <v>0</v>
      </c>
      <c r="Z263" s="10">
        <f t="shared" si="47"/>
        <v>0</v>
      </c>
      <c r="AA263" s="10">
        <f t="shared" si="48"/>
        <v>0</v>
      </c>
      <c r="AB263" s="10">
        <f t="shared" si="49"/>
        <v>0</v>
      </c>
      <c r="AC263" s="6">
        <f t="shared" si="50"/>
        <v>0</v>
      </c>
    </row>
    <row r="264" spans="1:29" x14ac:dyDescent="0.25">
      <c r="A264" t="s">
        <v>114</v>
      </c>
      <c r="B264" t="s">
        <v>122</v>
      </c>
      <c r="C264" s="1" t="s">
        <v>7</v>
      </c>
      <c r="D264">
        <v>0</v>
      </c>
      <c r="E264">
        <v>0</v>
      </c>
      <c r="F264">
        <v>0</v>
      </c>
      <c r="G264">
        <v>0</v>
      </c>
      <c r="H264">
        <v>0</v>
      </c>
      <c r="I264" s="1">
        <v>45419</v>
      </c>
      <c r="J264" s="1">
        <v>45419</v>
      </c>
      <c r="K264" s="1">
        <v>45419</v>
      </c>
      <c r="L264" s="1">
        <v>45419</v>
      </c>
      <c r="M264" s="1">
        <v>45419</v>
      </c>
      <c r="N264" s="5"/>
      <c r="S264" s="6"/>
      <c r="T264" s="5">
        <f t="shared" si="41"/>
        <v>0</v>
      </c>
      <c r="U264" s="10">
        <f t="shared" si="42"/>
        <v>0</v>
      </c>
      <c r="V264" s="10">
        <f t="shared" si="43"/>
        <v>0</v>
      </c>
      <c r="W264" s="10">
        <f t="shared" si="44"/>
        <v>0</v>
      </c>
      <c r="X264" s="6">
        <f t="shared" si="45"/>
        <v>0</v>
      </c>
      <c r="Y264" s="5">
        <f t="shared" si="46"/>
        <v>0</v>
      </c>
      <c r="Z264" s="10">
        <f t="shared" si="47"/>
        <v>0</v>
      </c>
      <c r="AA264" s="10">
        <f t="shared" si="48"/>
        <v>0</v>
      </c>
      <c r="AB264" s="10">
        <f t="shared" si="49"/>
        <v>0</v>
      </c>
      <c r="AC264" s="6">
        <f t="shared" si="50"/>
        <v>0</v>
      </c>
    </row>
    <row r="265" spans="1:29" x14ac:dyDescent="0.25">
      <c r="A265" t="s">
        <v>114</v>
      </c>
      <c r="B265" t="s">
        <v>230</v>
      </c>
      <c r="C265" s="1" t="s">
        <v>7</v>
      </c>
      <c r="D265">
        <v>0</v>
      </c>
      <c r="E265">
        <v>0</v>
      </c>
      <c r="F265">
        <v>0</v>
      </c>
      <c r="G265">
        <v>0</v>
      </c>
      <c r="H265">
        <v>0</v>
      </c>
      <c r="I265" s="1">
        <v>45419</v>
      </c>
      <c r="J265" s="1">
        <v>45419</v>
      </c>
      <c r="K265" s="1">
        <v>45419</v>
      </c>
      <c r="L265" s="1">
        <v>45419</v>
      </c>
      <c r="M265" s="1">
        <v>45419</v>
      </c>
      <c r="N265" s="5"/>
      <c r="S265" s="6"/>
      <c r="T265" s="5">
        <f t="shared" si="41"/>
        <v>0</v>
      </c>
      <c r="U265" s="10">
        <f t="shared" si="42"/>
        <v>0</v>
      </c>
      <c r="V265" s="10">
        <f t="shared" si="43"/>
        <v>0</v>
      </c>
      <c r="W265" s="10">
        <f t="shared" si="44"/>
        <v>0</v>
      </c>
      <c r="X265" s="6">
        <f t="shared" si="45"/>
        <v>0</v>
      </c>
      <c r="Y265" s="5">
        <f t="shared" si="46"/>
        <v>0</v>
      </c>
      <c r="Z265" s="10">
        <f t="shared" si="47"/>
        <v>0</v>
      </c>
      <c r="AA265" s="10">
        <f t="shared" si="48"/>
        <v>0</v>
      </c>
      <c r="AB265" s="10">
        <f t="shared" si="49"/>
        <v>0</v>
      </c>
      <c r="AC265" s="6">
        <f t="shared" si="50"/>
        <v>0</v>
      </c>
    </row>
    <row r="266" spans="1:29" x14ac:dyDescent="0.25">
      <c r="A266" t="s">
        <v>114</v>
      </c>
      <c r="B266" t="s">
        <v>197</v>
      </c>
      <c r="C266" s="1" t="s">
        <v>7</v>
      </c>
      <c r="D266">
        <v>0</v>
      </c>
      <c r="E266">
        <v>0</v>
      </c>
      <c r="F266">
        <v>0</v>
      </c>
      <c r="G266">
        <v>0</v>
      </c>
      <c r="H266">
        <v>0</v>
      </c>
      <c r="I266" s="1">
        <v>45419</v>
      </c>
      <c r="J266" s="1">
        <v>45419</v>
      </c>
      <c r="K266" s="1">
        <v>45419</v>
      </c>
      <c r="L266" s="1">
        <v>45419</v>
      </c>
      <c r="M266" s="1">
        <v>45419</v>
      </c>
      <c r="N266" s="5"/>
      <c r="S266" s="6"/>
      <c r="T266" s="5">
        <f t="shared" si="41"/>
        <v>0</v>
      </c>
      <c r="U266" s="10">
        <f t="shared" si="42"/>
        <v>0</v>
      </c>
      <c r="V266" s="10">
        <f t="shared" si="43"/>
        <v>0</v>
      </c>
      <c r="W266" s="10">
        <f t="shared" si="44"/>
        <v>0</v>
      </c>
      <c r="X266" s="6">
        <f t="shared" si="45"/>
        <v>0</v>
      </c>
      <c r="Y266" s="5">
        <f t="shared" si="46"/>
        <v>0</v>
      </c>
      <c r="Z266" s="10">
        <f t="shared" si="47"/>
        <v>0</v>
      </c>
      <c r="AA266" s="10">
        <f t="shared" si="48"/>
        <v>0</v>
      </c>
      <c r="AB266" s="10">
        <f t="shared" si="49"/>
        <v>0</v>
      </c>
      <c r="AC266" s="6">
        <f t="shared" si="50"/>
        <v>0</v>
      </c>
    </row>
    <row r="267" spans="1:29" x14ac:dyDescent="0.25">
      <c r="A267" t="s">
        <v>114</v>
      </c>
      <c r="B267" t="s">
        <v>231</v>
      </c>
      <c r="C267" s="1" t="s">
        <v>7</v>
      </c>
      <c r="D267">
        <v>0</v>
      </c>
      <c r="E267">
        <v>0</v>
      </c>
      <c r="F267">
        <v>0</v>
      </c>
      <c r="G267">
        <v>0</v>
      </c>
      <c r="H267">
        <v>0</v>
      </c>
      <c r="I267" s="1">
        <v>45419</v>
      </c>
      <c r="J267" s="1">
        <v>45419</v>
      </c>
      <c r="K267" s="1">
        <v>45419</v>
      </c>
      <c r="L267" s="1">
        <v>45419</v>
      </c>
      <c r="M267" s="1">
        <v>45419</v>
      </c>
      <c r="N267" s="5"/>
      <c r="S267" s="6"/>
      <c r="T267" s="5">
        <f t="shared" si="41"/>
        <v>0</v>
      </c>
      <c r="U267" s="10">
        <f t="shared" si="42"/>
        <v>0</v>
      </c>
      <c r="V267" s="10">
        <f t="shared" si="43"/>
        <v>0</v>
      </c>
      <c r="W267" s="10">
        <f t="shared" si="44"/>
        <v>0</v>
      </c>
      <c r="X267" s="6">
        <f t="shared" si="45"/>
        <v>0</v>
      </c>
      <c r="Y267" s="5">
        <f t="shared" si="46"/>
        <v>0</v>
      </c>
      <c r="Z267" s="10">
        <f t="shared" si="47"/>
        <v>0</v>
      </c>
      <c r="AA267" s="10">
        <f t="shared" si="48"/>
        <v>0</v>
      </c>
      <c r="AB267" s="10">
        <f t="shared" si="49"/>
        <v>0</v>
      </c>
      <c r="AC267" s="6">
        <f t="shared" si="50"/>
        <v>0</v>
      </c>
    </row>
    <row r="268" spans="1:29" x14ac:dyDescent="0.25">
      <c r="A268" t="s">
        <v>114</v>
      </c>
      <c r="B268" t="s">
        <v>218</v>
      </c>
      <c r="C268" s="1" t="s">
        <v>7</v>
      </c>
      <c r="D268">
        <v>0</v>
      </c>
      <c r="E268">
        <v>0</v>
      </c>
      <c r="F268">
        <v>0</v>
      </c>
      <c r="G268">
        <v>0</v>
      </c>
      <c r="H268">
        <v>0</v>
      </c>
      <c r="I268" s="1">
        <v>45419</v>
      </c>
      <c r="J268" s="1">
        <v>45419</v>
      </c>
      <c r="K268" s="1">
        <v>45419</v>
      </c>
      <c r="L268" s="1">
        <v>45419</v>
      </c>
      <c r="M268" s="1">
        <v>45419</v>
      </c>
      <c r="N268" s="5"/>
      <c r="S268" s="6"/>
      <c r="T268" s="5">
        <f t="shared" si="41"/>
        <v>0</v>
      </c>
      <c r="U268" s="10">
        <f t="shared" si="42"/>
        <v>0</v>
      </c>
      <c r="V268" s="10">
        <f t="shared" si="43"/>
        <v>0</v>
      </c>
      <c r="W268" s="10">
        <f t="shared" si="44"/>
        <v>0</v>
      </c>
      <c r="X268" s="6">
        <f t="shared" si="45"/>
        <v>0</v>
      </c>
      <c r="Y268" s="5">
        <f t="shared" si="46"/>
        <v>0</v>
      </c>
      <c r="Z268" s="10">
        <f t="shared" si="47"/>
        <v>0</v>
      </c>
      <c r="AA268" s="10">
        <f t="shared" si="48"/>
        <v>0</v>
      </c>
      <c r="AB268" s="10">
        <f t="shared" si="49"/>
        <v>0</v>
      </c>
      <c r="AC268" s="6">
        <f t="shared" si="50"/>
        <v>0</v>
      </c>
    </row>
    <row r="269" spans="1:29" x14ac:dyDescent="0.25">
      <c r="A269" t="s">
        <v>114</v>
      </c>
      <c r="B269" t="s">
        <v>232</v>
      </c>
      <c r="C269" s="1" t="s">
        <v>7</v>
      </c>
      <c r="D269">
        <v>0</v>
      </c>
      <c r="E269">
        <v>0</v>
      </c>
      <c r="F269">
        <v>0</v>
      </c>
      <c r="G269">
        <v>0</v>
      </c>
      <c r="H269">
        <v>0</v>
      </c>
      <c r="I269" s="1">
        <v>45419</v>
      </c>
      <c r="J269" s="1">
        <v>45419</v>
      </c>
      <c r="K269" s="1">
        <v>45419</v>
      </c>
      <c r="L269" s="1">
        <v>45419</v>
      </c>
      <c r="M269" s="1">
        <v>45419</v>
      </c>
      <c r="N269" s="5"/>
      <c r="S269" s="6"/>
      <c r="T269" s="5">
        <f t="shared" si="41"/>
        <v>0</v>
      </c>
      <c r="U269" s="10">
        <f t="shared" si="42"/>
        <v>0</v>
      </c>
      <c r="V269" s="10">
        <f t="shared" si="43"/>
        <v>0</v>
      </c>
      <c r="W269" s="10">
        <f t="shared" si="44"/>
        <v>0</v>
      </c>
      <c r="X269" s="6">
        <f t="shared" si="45"/>
        <v>0</v>
      </c>
      <c r="Y269" s="5">
        <f t="shared" si="46"/>
        <v>0</v>
      </c>
      <c r="Z269" s="10">
        <f t="shared" si="47"/>
        <v>0</v>
      </c>
      <c r="AA269" s="10">
        <f t="shared" si="48"/>
        <v>0</v>
      </c>
      <c r="AB269" s="10">
        <f t="shared" si="49"/>
        <v>0</v>
      </c>
      <c r="AC269" s="6">
        <f t="shared" si="50"/>
        <v>0</v>
      </c>
    </row>
    <row r="270" spans="1:29" x14ac:dyDescent="0.25">
      <c r="A270" t="s">
        <v>114</v>
      </c>
      <c r="B270" t="s">
        <v>226</v>
      </c>
      <c r="C270" s="1" t="s">
        <v>7</v>
      </c>
      <c r="D270">
        <v>0</v>
      </c>
      <c r="E270">
        <v>0</v>
      </c>
      <c r="F270">
        <v>0</v>
      </c>
      <c r="G270">
        <v>0</v>
      </c>
      <c r="H270">
        <v>0</v>
      </c>
      <c r="I270" s="1">
        <v>45419</v>
      </c>
      <c r="J270" s="1">
        <v>45419</v>
      </c>
      <c r="K270" s="1">
        <v>45419</v>
      </c>
      <c r="L270" s="1">
        <v>45419</v>
      </c>
      <c r="M270" s="1">
        <v>45419</v>
      </c>
      <c r="N270" s="5"/>
      <c r="S270" s="6"/>
      <c r="T270" s="5">
        <f t="shared" si="41"/>
        <v>0</v>
      </c>
      <c r="U270" s="10">
        <f t="shared" si="42"/>
        <v>0</v>
      </c>
      <c r="V270" s="10">
        <f t="shared" si="43"/>
        <v>0</v>
      </c>
      <c r="W270" s="10">
        <f t="shared" si="44"/>
        <v>0</v>
      </c>
      <c r="X270" s="6">
        <f t="shared" si="45"/>
        <v>0</v>
      </c>
      <c r="Y270" s="5">
        <f t="shared" si="46"/>
        <v>0</v>
      </c>
      <c r="Z270" s="10">
        <f t="shared" si="47"/>
        <v>0</v>
      </c>
      <c r="AA270" s="10">
        <f t="shared" si="48"/>
        <v>0</v>
      </c>
      <c r="AB270" s="10">
        <f t="shared" si="49"/>
        <v>0</v>
      </c>
      <c r="AC270" s="6">
        <f t="shared" si="50"/>
        <v>0</v>
      </c>
    </row>
    <row r="271" spans="1:29" x14ac:dyDescent="0.25">
      <c r="A271" t="s">
        <v>114</v>
      </c>
      <c r="B271" t="s">
        <v>23</v>
      </c>
      <c r="C271" s="1" t="s">
        <v>7</v>
      </c>
      <c r="D271">
        <v>0</v>
      </c>
      <c r="E271">
        <v>0</v>
      </c>
      <c r="F271">
        <v>0</v>
      </c>
      <c r="G271">
        <v>0</v>
      </c>
      <c r="H271">
        <v>0</v>
      </c>
      <c r="I271" s="1">
        <v>45419</v>
      </c>
      <c r="J271" s="1">
        <v>45419</v>
      </c>
      <c r="K271" s="1">
        <v>45419</v>
      </c>
      <c r="L271" s="1">
        <v>45419</v>
      </c>
      <c r="M271" s="1">
        <v>45419</v>
      </c>
      <c r="N271" s="5"/>
      <c r="S271" s="6"/>
      <c r="T271" s="5">
        <f t="shared" si="41"/>
        <v>0</v>
      </c>
      <c r="U271" s="10">
        <f t="shared" si="42"/>
        <v>0</v>
      </c>
      <c r="V271" s="10">
        <f t="shared" si="43"/>
        <v>0</v>
      </c>
      <c r="W271" s="10">
        <f t="shared" si="44"/>
        <v>0</v>
      </c>
      <c r="X271" s="6">
        <f t="shared" si="45"/>
        <v>0</v>
      </c>
      <c r="Y271" s="5">
        <f t="shared" si="46"/>
        <v>0</v>
      </c>
      <c r="Z271" s="10">
        <f t="shared" si="47"/>
        <v>0</v>
      </c>
      <c r="AA271" s="10">
        <f t="shared" si="48"/>
        <v>0</v>
      </c>
      <c r="AB271" s="10">
        <f t="shared" si="49"/>
        <v>0</v>
      </c>
      <c r="AC271" s="6">
        <f t="shared" si="50"/>
        <v>0</v>
      </c>
    </row>
    <row r="272" spans="1:29" x14ac:dyDescent="0.25">
      <c r="A272" t="s">
        <v>114</v>
      </c>
      <c r="B272" t="s">
        <v>233</v>
      </c>
      <c r="C272" s="1" t="s">
        <v>7</v>
      </c>
      <c r="D272">
        <v>0</v>
      </c>
      <c r="E272">
        <v>0</v>
      </c>
      <c r="F272">
        <v>0</v>
      </c>
      <c r="G272">
        <v>0</v>
      </c>
      <c r="H272">
        <v>0</v>
      </c>
      <c r="I272" s="1">
        <v>45419</v>
      </c>
      <c r="J272" s="1">
        <v>45419</v>
      </c>
      <c r="K272" s="1">
        <v>45419</v>
      </c>
      <c r="L272" s="1">
        <v>45419</v>
      </c>
      <c r="M272" s="1">
        <v>45419</v>
      </c>
      <c r="N272" s="5"/>
      <c r="S272" s="6"/>
      <c r="T272" s="5">
        <f t="shared" si="41"/>
        <v>0</v>
      </c>
      <c r="U272" s="10">
        <f t="shared" si="42"/>
        <v>0</v>
      </c>
      <c r="V272" s="10">
        <f t="shared" si="43"/>
        <v>0</v>
      </c>
      <c r="W272" s="10">
        <f t="shared" si="44"/>
        <v>0</v>
      </c>
      <c r="X272" s="6">
        <f t="shared" si="45"/>
        <v>0</v>
      </c>
      <c r="Y272" s="5">
        <f t="shared" si="46"/>
        <v>0</v>
      </c>
      <c r="Z272" s="10">
        <f t="shared" si="47"/>
        <v>0</v>
      </c>
      <c r="AA272" s="10">
        <f t="shared" si="48"/>
        <v>0</v>
      </c>
      <c r="AB272" s="10">
        <f t="shared" si="49"/>
        <v>0</v>
      </c>
      <c r="AC272" s="6">
        <f t="shared" si="50"/>
        <v>0</v>
      </c>
    </row>
    <row r="273" spans="1:29" x14ac:dyDescent="0.25">
      <c r="A273" t="s">
        <v>114</v>
      </c>
      <c r="B273" t="s">
        <v>213</v>
      </c>
      <c r="C273" s="1" t="s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 s="1">
        <v>45419</v>
      </c>
      <c r="J273" s="1">
        <v>45419</v>
      </c>
      <c r="K273" s="1">
        <v>45419</v>
      </c>
      <c r="L273" s="1">
        <v>45419</v>
      </c>
      <c r="M273" s="1">
        <v>45419</v>
      </c>
      <c r="N273" s="5"/>
      <c r="S273" s="6"/>
      <c r="T273" s="5">
        <f t="shared" si="41"/>
        <v>0</v>
      </c>
      <c r="U273" s="10">
        <f t="shared" si="42"/>
        <v>0</v>
      </c>
      <c r="V273" s="10">
        <f t="shared" si="43"/>
        <v>0</v>
      </c>
      <c r="W273" s="10">
        <f t="shared" si="44"/>
        <v>0</v>
      </c>
      <c r="X273" s="6">
        <f t="shared" si="45"/>
        <v>0</v>
      </c>
      <c r="Y273" s="5">
        <f t="shared" si="46"/>
        <v>0</v>
      </c>
      <c r="Z273" s="10">
        <f t="shared" si="47"/>
        <v>0</v>
      </c>
      <c r="AA273" s="10">
        <f t="shared" si="48"/>
        <v>0</v>
      </c>
      <c r="AB273" s="10">
        <f t="shared" si="49"/>
        <v>0</v>
      </c>
      <c r="AC273" s="6">
        <f t="shared" si="50"/>
        <v>0</v>
      </c>
    </row>
    <row r="274" spans="1:29" x14ac:dyDescent="0.25">
      <c r="A274" t="s">
        <v>114</v>
      </c>
      <c r="B274" t="s">
        <v>234</v>
      </c>
      <c r="C274" s="1" t="s">
        <v>7</v>
      </c>
      <c r="D274">
        <v>0</v>
      </c>
      <c r="E274">
        <v>35</v>
      </c>
      <c r="F274">
        <v>0</v>
      </c>
      <c r="G274">
        <v>0</v>
      </c>
      <c r="H274">
        <v>0</v>
      </c>
      <c r="I274" s="1">
        <v>45419</v>
      </c>
      <c r="J274" s="1">
        <v>45454</v>
      </c>
      <c r="K274" s="1">
        <v>45419</v>
      </c>
      <c r="L274" s="1">
        <v>45419</v>
      </c>
      <c r="M274" s="1">
        <v>45419</v>
      </c>
      <c r="N274" s="5">
        <v>45.978326127304648</v>
      </c>
      <c r="P274">
        <v>44.552637030288039</v>
      </c>
      <c r="S274" s="6"/>
      <c r="T274" s="5">
        <f t="shared" si="41"/>
        <v>0</v>
      </c>
      <c r="U274" s="10">
        <f t="shared" si="42"/>
        <v>-3.1007851244283291</v>
      </c>
      <c r="V274" s="10">
        <f t="shared" si="43"/>
        <v>0</v>
      </c>
      <c r="W274" s="10">
        <f t="shared" si="44"/>
        <v>0</v>
      </c>
      <c r="X274" s="6">
        <f t="shared" si="45"/>
        <v>0</v>
      </c>
      <c r="Y274" s="5">
        <f t="shared" si="46"/>
        <v>0</v>
      </c>
      <c r="Z274" s="10">
        <f t="shared" si="47"/>
        <v>-31.007851244283291</v>
      </c>
      <c r="AA274" s="10">
        <f t="shared" si="48"/>
        <v>0</v>
      </c>
      <c r="AB274" s="10">
        <f t="shared" si="49"/>
        <v>0</v>
      </c>
      <c r="AC274" s="6">
        <f t="shared" si="50"/>
        <v>0</v>
      </c>
    </row>
    <row r="275" spans="1:29" x14ac:dyDescent="0.25">
      <c r="A275" t="s">
        <v>114</v>
      </c>
      <c r="B275" t="s">
        <v>125</v>
      </c>
      <c r="C275" s="1" t="s">
        <v>7</v>
      </c>
      <c r="D275">
        <v>0</v>
      </c>
      <c r="E275">
        <v>0</v>
      </c>
      <c r="F275">
        <v>0</v>
      </c>
      <c r="G275">
        <v>0</v>
      </c>
      <c r="H275">
        <v>0</v>
      </c>
      <c r="I275" s="1">
        <v>45419</v>
      </c>
      <c r="J275" s="1">
        <v>45419</v>
      </c>
      <c r="K275" s="1">
        <v>45419</v>
      </c>
      <c r="L275" s="1">
        <v>45419</v>
      </c>
      <c r="M275" s="1">
        <v>45419</v>
      </c>
      <c r="N275" s="5"/>
      <c r="S275" s="6"/>
      <c r="T275" s="5">
        <f t="shared" si="41"/>
        <v>0</v>
      </c>
      <c r="U275" s="10">
        <f t="shared" si="42"/>
        <v>0</v>
      </c>
      <c r="V275" s="10">
        <f t="shared" si="43"/>
        <v>0</v>
      </c>
      <c r="W275" s="10">
        <f t="shared" si="44"/>
        <v>0</v>
      </c>
      <c r="X275" s="6">
        <f t="shared" si="45"/>
        <v>0</v>
      </c>
      <c r="Y275" s="5">
        <f t="shared" si="46"/>
        <v>0</v>
      </c>
      <c r="Z275" s="10">
        <f t="shared" si="47"/>
        <v>0</v>
      </c>
      <c r="AA275" s="10">
        <f t="shared" si="48"/>
        <v>0</v>
      </c>
      <c r="AB275" s="10">
        <f t="shared" si="49"/>
        <v>0</v>
      </c>
      <c r="AC275" s="6">
        <f t="shared" si="50"/>
        <v>0</v>
      </c>
    </row>
    <row r="276" spans="1:29" x14ac:dyDescent="0.25">
      <c r="A276" t="s">
        <v>114</v>
      </c>
      <c r="B276" t="s">
        <v>127</v>
      </c>
      <c r="C276" s="1" t="s">
        <v>7</v>
      </c>
      <c r="D276">
        <v>0</v>
      </c>
      <c r="E276">
        <v>0</v>
      </c>
      <c r="F276">
        <v>0</v>
      </c>
      <c r="G276">
        <v>0</v>
      </c>
      <c r="H276">
        <v>0</v>
      </c>
      <c r="I276" s="1">
        <v>45419</v>
      </c>
      <c r="J276" s="1">
        <v>45419</v>
      </c>
      <c r="K276" s="1">
        <v>45419</v>
      </c>
      <c r="L276" s="1">
        <v>45419</v>
      </c>
      <c r="M276" s="1">
        <v>45419</v>
      </c>
      <c r="N276" s="5"/>
      <c r="S276" s="6"/>
      <c r="T276" s="5">
        <f t="shared" si="41"/>
        <v>0</v>
      </c>
      <c r="U276" s="10">
        <f t="shared" si="42"/>
        <v>0</v>
      </c>
      <c r="V276" s="10">
        <f t="shared" si="43"/>
        <v>0</v>
      </c>
      <c r="W276" s="10">
        <f t="shared" si="44"/>
        <v>0</v>
      </c>
      <c r="X276" s="6">
        <f t="shared" si="45"/>
        <v>0</v>
      </c>
      <c r="Y276" s="5">
        <f t="shared" si="46"/>
        <v>0</v>
      </c>
      <c r="Z276" s="10">
        <f t="shared" si="47"/>
        <v>0</v>
      </c>
      <c r="AA276" s="10">
        <f t="shared" si="48"/>
        <v>0</v>
      </c>
      <c r="AB276" s="10">
        <f t="shared" si="49"/>
        <v>0</v>
      </c>
      <c r="AC276" s="6">
        <f t="shared" si="50"/>
        <v>0</v>
      </c>
    </row>
    <row r="277" spans="1:29" x14ac:dyDescent="0.25">
      <c r="A277" t="s">
        <v>114</v>
      </c>
      <c r="B277" t="s">
        <v>89</v>
      </c>
      <c r="C277" s="1" t="s">
        <v>7</v>
      </c>
      <c r="D277">
        <v>0</v>
      </c>
      <c r="E277">
        <v>0</v>
      </c>
      <c r="F277">
        <v>0</v>
      </c>
      <c r="G277">
        <v>0</v>
      </c>
      <c r="H277">
        <v>0</v>
      </c>
      <c r="I277" s="1">
        <v>45419</v>
      </c>
      <c r="J277" s="1">
        <v>45419</v>
      </c>
      <c r="K277" s="1">
        <v>45419</v>
      </c>
      <c r="L277" s="1">
        <v>45419</v>
      </c>
      <c r="M277" s="1">
        <v>45419</v>
      </c>
      <c r="N277" s="5"/>
      <c r="S277" s="6"/>
      <c r="T277" s="5">
        <f t="shared" si="41"/>
        <v>0</v>
      </c>
      <c r="U277" s="10">
        <f t="shared" si="42"/>
        <v>0</v>
      </c>
      <c r="V277" s="10">
        <f t="shared" si="43"/>
        <v>0</v>
      </c>
      <c r="W277" s="10">
        <f t="shared" si="44"/>
        <v>0</v>
      </c>
      <c r="X277" s="6">
        <f t="shared" si="45"/>
        <v>0</v>
      </c>
      <c r="Y277" s="5">
        <f t="shared" si="46"/>
        <v>0</v>
      </c>
      <c r="Z277" s="10">
        <f t="shared" si="47"/>
        <v>0</v>
      </c>
      <c r="AA277" s="10">
        <f t="shared" si="48"/>
        <v>0</v>
      </c>
      <c r="AB277" s="10">
        <f t="shared" si="49"/>
        <v>0</v>
      </c>
      <c r="AC277" s="6">
        <f t="shared" si="50"/>
        <v>0</v>
      </c>
    </row>
    <row r="278" spans="1:29" x14ac:dyDescent="0.25">
      <c r="A278" t="s">
        <v>114</v>
      </c>
      <c r="B278" t="s">
        <v>89</v>
      </c>
      <c r="C278" s="1" t="s">
        <v>7</v>
      </c>
      <c r="D278">
        <v>0</v>
      </c>
      <c r="E278">
        <v>0</v>
      </c>
      <c r="F278">
        <v>0</v>
      </c>
      <c r="G278">
        <v>0</v>
      </c>
      <c r="H278">
        <v>0</v>
      </c>
      <c r="I278" s="1">
        <v>45419</v>
      </c>
      <c r="J278" s="1">
        <v>45419</v>
      </c>
      <c r="K278" s="1">
        <v>45419</v>
      </c>
      <c r="L278" s="1">
        <v>45419</v>
      </c>
      <c r="M278" s="1">
        <v>45419</v>
      </c>
      <c r="N278" s="5"/>
      <c r="S278" s="6"/>
      <c r="T278" s="5">
        <f t="shared" si="41"/>
        <v>0</v>
      </c>
      <c r="U278" s="10">
        <f t="shared" si="42"/>
        <v>0</v>
      </c>
      <c r="V278" s="10">
        <f t="shared" si="43"/>
        <v>0</v>
      </c>
      <c r="W278" s="10">
        <f t="shared" si="44"/>
        <v>0</v>
      </c>
      <c r="X278" s="6">
        <f t="shared" si="45"/>
        <v>0</v>
      </c>
      <c r="Y278" s="5">
        <f t="shared" si="46"/>
        <v>0</v>
      </c>
      <c r="Z278" s="10">
        <f t="shared" si="47"/>
        <v>0</v>
      </c>
      <c r="AA278" s="10">
        <f t="shared" si="48"/>
        <v>0</v>
      </c>
      <c r="AB278" s="10">
        <f t="shared" si="49"/>
        <v>0</v>
      </c>
      <c r="AC278" s="6">
        <f t="shared" si="50"/>
        <v>0</v>
      </c>
    </row>
    <row r="279" spans="1:29" x14ac:dyDescent="0.25">
      <c r="A279" t="s">
        <v>235</v>
      </c>
      <c r="B279" t="s">
        <v>236</v>
      </c>
      <c r="C279" s="1" t="s">
        <v>7</v>
      </c>
      <c r="D279">
        <v>0</v>
      </c>
      <c r="E279">
        <v>0</v>
      </c>
      <c r="F279">
        <v>0</v>
      </c>
      <c r="G279">
        <v>0</v>
      </c>
      <c r="H279">
        <v>0</v>
      </c>
      <c r="I279" s="1">
        <v>45419</v>
      </c>
      <c r="J279" s="1">
        <v>45419</v>
      </c>
      <c r="K279" s="1">
        <v>45419</v>
      </c>
      <c r="L279" s="1">
        <v>45419</v>
      </c>
      <c r="M279" s="1">
        <v>45419</v>
      </c>
      <c r="N279" s="5"/>
      <c r="S279" s="6"/>
      <c r="T279" s="5">
        <f t="shared" si="41"/>
        <v>0</v>
      </c>
      <c r="U279" s="10">
        <f t="shared" si="42"/>
        <v>0</v>
      </c>
      <c r="V279" s="10">
        <f t="shared" si="43"/>
        <v>0</v>
      </c>
      <c r="W279" s="10">
        <f t="shared" si="44"/>
        <v>0</v>
      </c>
      <c r="X279" s="6">
        <f t="shared" si="45"/>
        <v>0</v>
      </c>
      <c r="Y279" s="5">
        <f t="shared" si="46"/>
        <v>0</v>
      </c>
      <c r="Z279" s="10">
        <f t="shared" si="47"/>
        <v>0</v>
      </c>
      <c r="AA279" s="10">
        <f t="shared" si="48"/>
        <v>0</v>
      </c>
      <c r="AB279" s="10">
        <f t="shared" si="49"/>
        <v>0</v>
      </c>
      <c r="AC279" s="6">
        <f t="shared" si="50"/>
        <v>0</v>
      </c>
    </row>
    <row r="280" spans="1:29" x14ac:dyDescent="0.25">
      <c r="A280" t="s">
        <v>235</v>
      </c>
      <c r="B280" t="s">
        <v>237</v>
      </c>
      <c r="C280" s="1" t="s">
        <v>7</v>
      </c>
      <c r="D280">
        <v>0</v>
      </c>
      <c r="E280">
        <v>0</v>
      </c>
      <c r="F280">
        <v>0</v>
      </c>
      <c r="G280">
        <v>0</v>
      </c>
      <c r="H280">
        <v>0</v>
      </c>
      <c r="I280" s="1">
        <v>45419</v>
      </c>
      <c r="J280" s="1">
        <v>45419</v>
      </c>
      <c r="K280" s="1">
        <v>45419</v>
      </c>
      <c r="L280" s="1">
        <v>45419</v>
      </c>
      <c r="M280" s="1">
        <v>45419</v>
      </c>
      <c r="N280" s="5"/>
      <c r="S280" s="6"/>
      <c r="T280" s="5">
        <f t="shared" si="41"/>
        <v>0</v>
      </c>
      <c r="U280" s="10">
        <f t="shared" si="42"/>
        <v>0</v>
      </c>
      <c r="V280" s="10">
        <f t="shared" si="43"/>
        <v>0</v>
      </c>
      <c r="W280" s="10">
        <f t="shared" si="44"/>
        <v>0</v>
      </c>
      <c r="X280" s="6">
        <f t="shared" si="45"/>
        <v>0</v>
      </c>
      <c r="Y280" s="5">
        <f t="shared" si="46"/>
        <v>0</v>
      </c>
      <c r="Z280" s="10">
        <f t="shared" si="47"/>
        <v>0</v>
      </c>
      <c r="AA280" s="10">
        <f t="shared" si="48"/>
        <v>0</v>
      </c>
      <c r="AB280" s="10">
        <f t="shared" si="49"/>
        <v>0</v>
      </c>
      <c r="AC280" s="6">
        <f t="shared" si="50"/>
        <v>0</v>
      </c>
    </row>
    <row r="281" spans="1:29" x14ac:dyDescent="0.25">
      <c r="A281" t="s">
        <v>235</v>
      </c>
      <c r="B281" t="s">
        <v>96</v>
      </c>
      <c r="C281" s="1" t="s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 s="1">
        <v>45419</v>
      </c>
      <c r="J281" s="1">
        <v>45419</v>
      </c>
      <c r="K281" s="1">
        <v>45419</v>
      </c>
      <c r="L281" s="1">
        <v>45419</v>
      </c>
      <c r="M281" s="1">
        <v>45419</v>
      </c>
      <c r="N281" s="5"/>
      <c r="S281" s="6"/>
      <c r="T281" s="5">
        <f t="shared" si="41"/>
        <v>0</v>
      </c>
      <c r="U281" s="10">
        <f t="shared" si="42"/>
        <v>0</v>
      </c>
      <c r="V281" s="10">
        <f t="shared" si="43"/>
        <v>0</v>
      </c>
      <c r="W281" s="10">
        <f t="shared" si="44"/>
        <v>0</v>
      </c>
      <c r="X281" s="6">
        <f t="shared" si="45"/>
        <v>0</v>
      </c>
      <c r="Y281" s="5">
        <f t="shared" si="46"/>
        <v>0</v>
      </c>
      <c r="Z281" s="10">
        <f t="shared" si="47"/>
        <v>0</v>
      </c>
      <c r="AA281" s="10">
        <f t="shared" si="48"/>
        <v>0</v>
      </c>
      <c r="AB281" s="10">
        <f t="shared" si="49"/>
        <v>0</v>
      </c>
      <c r="AC281" s="6">
        <f t="shared" si="50"/>
        <v>0</v>
      </c>
    </row>
    <row r="282" spans="1:29" x14ac:dyDescent="0.25">
      <c r="A282" t="s">
        <v>235</v>
      </c>
      <c r="B282" t="s">
        <v>79</v>
      </c>
      <c r="C282" s="1" t="s">
        <v>7</v>
      </c>
      <c r="D282">
        <v>0</v>
      </c>
      <c r="E282">
        <v>0</v>
      </c>
      <c r="F282">
        <v>38</v>
      </c>
      <c r="G282">
        <v>0</v>
      </c>
      <c r="H282">
        <v>38</v>
      </c>
      <c r="I282" s="1">
        <v>45419</v>
      </c>
      <c r="J282" s="1">
        <v>45419</v>
      </c>
      <c r="K282" s="1">
        <v>45457</v>
      </c>
      <c r="L282" s="1">
        <v>45419</v>
      </c>
      <c r="M282" s="1">
        <v>45457</v>
      </c>
      <c r="N282" s="5">
        <v>350.98001098632813</v>
      </c>
      <c r="Q282">
        <v>306.8800048828125</v>
      </c>
      <c r="S282" s="6">
        <v>306.8800048828125</v>
      </c>
      <c r="T282" s="5">
        <f t="shared" si="41"/>
        <v>0</v>
      </c>
      <c r="U282" s="10">
        <f t="shared" si="42"/>
        <v>0</v>
      </c>
      <c r="V282" s="10">
        <f t="shared" si="43"/>
        <v>-12.564819853867249</v>
      </c>
      <c r="W282" s="10">
        <f t="shared" si="44"/>
        <v>0</v>
      </c>
      <c r="X282" s="6">
        <f t="shared" si="45"/>
        <v>-12.564819853867249</v>
      </c>
      <c r="Y282" s="5">
        <f t="shared" si="46"/>
        <v>0</v>
      </c>
      <c r="Z282" s="10">
        <f t="shared" si="47"/>
        <v>0</v>
      </c>
      <c r="AA282" s="10">
        <f t="shared" si="48"/>
        <v>-125.64819853867249</v>
      </c>
      <c r="AB282" s="10">
        <f t="shared" si="49"/>
        <v>0</v>
      </c>
      <c r="AC282" s="6">
        <f t="shared" si="50"/>
        <v>-125.64819853867249</v>
      </c>
    </row>
    <row r="283" spans="1:29" x14ac:dyDescent="0.25">
      <c r="A283" t="s">
        <v>238</v>
      </c>
      <c r="B283" t="s">
        <v>239</v>
      </c>
      <c r="C283" s="1" t="s">
        <v>7</v>
      </c>
      <c r="D283">
        <v>0</v>
      </c>
      <c r="E283">
        <v>0</v>
      </c>
      <c r="F283">
        <v>0</v>
      </c>
      <c r="G283">
        <v>0</v>
      </c>
      <c r="H283">
        <v>0</v>
      </c>
      <c r="I283" s="1">
        <v>45419</v>
      </c>
      <c r="J283" s="1">
        <v>45419</v>
      </c>
      <c r="K283" s="1">
        <v>45419</v>
      </c>
      <c r="L283" s="1">
        <v>45419</v>
      </c>
      <c r="M283" s="1">
        <v>45419</v>
      </c>
      <c r="N283" s="5"/>
      <c r="S283" s="6"/>
      <c r="T283" s="5">
        <f t="shared" si="41"/>
        <v>0</v>
      </c>
      <c r="U283" s="10">
        <f t="shared" si="42"/>
        <v>0</v>
      </c>
      <c r="V283" s="10">
        <f t="shared" si="43"/>
        <v>0</v>
      </c>
      <c r="W283" s="10">
        <f t="shared" si="44"/>
        <v>0</v>
      </c>
      <c r="X283" s="6">
        <f t="shared" si="45"/>
        <v>0</v>
      </c>
      <c r="Y283" s="5">
        <f t="shared" si="46"/>
        <v>0</v>
      </c>
      <c r="Z283" s="10">
        <f t="shared" si="47"/>
        <v>0</v>
      </c>
      <c r="AA283" s="10">
        <f t="shared" si="48"/>
        <v>0</v>
      </c>
      <c r="AB283" s="10">
        <f t="shared" si="49"/>
        <v>0</v>
      </c>
      <c r="AC283" s="6">
        <f t="shared" si="50"/>
        <v>0</v>
      </c>
    </row>
    <row r="284" spans="1:29" x14ac:dyDescent="0.25">
      <c r="A284" t="s">
        <v>240</v>
      </c>
      <c r="B284" t="s">
        <v>241</v>
      </c>
      <c r="C284" s="1" t="s">
        <v>8</v>
      </c>
      <c r="D284">
        <v>0</v>
      </c>
      <c r="E284">
        <v>0</v>
      </c>
      <c r="F284">
        <v>0</v>
      </c>
      <c r="G284">
        <v>0</v>
      </c>
      <c r="H284">
        <v>0</v>
      </c>
      <c r="I284" s="1">
        <v>45418</v>
      </c>
      <c r="J284" s="1">
        <v>45418</v>
      </c>
      <c r="K284" s="1">
        <v>45418</v>
      </c>
      <c r="L284" s="1">
        <v>45418</v>
      </c>
      <c r="M284" s="1">
        <v>45418</v>
      </c>
      <c r="N284" s="5"/>
      <c r="S284" s="6"/>
      <c r="T284" s="5">
        <f t="shared" si="41"/>
        <v>0</v>
      </c>
      <c r="U284" s="10">
        <f t="shared" si="42"/>
        <v>0</v>
      </c>
      <c r="V284" s="10">
        <f t="shared" si="43"/>
        <v>0</v>
      </c>
      <c r="W284" s="10">
        <f t="shared" si="44"/>
        <v>0</v>
      </c>
      <c r="X284" s="6">
        <f t="shared" si="45"/>
        <v>0</v>
      </c>
      <c r="Y284" s="5">
        <f t="shared" si="46"/>
        <v>0</v>
      </c>
      <c r="Z284" s="10">
        <f t="shared" si="47"/>
        <v>0</v>
      </c>
      <c r="AA284" s="10">
        <f t="shared" si="48"/>
        <v>0</v>
      </c>
      <c r="AB284" s="10">
        <f t="shared" si="49"/>
        <v>0</v>
      </c>
      <c r="AC284" s="6">
        <f t="shared" si="50"/>
        <v>0</v>
      </c>
    </row>
    <row r="285" spans="1:29" x14ac:dyDescent="0.25">
      <c r="A285" t="s">
        <v>240</v>
      </c>
      <c r="B285" t="s">
        <v>242</v>
      </c>
      <c r="C285" s="1" t="s">
        <v>8</v>
      </c>
      <c r="D285">
        <v>0</v>
      </c>
      <c r="E285">
        <v>0</v>
      </c>
      <c r="F285">
        <v>0</v>
      </c>
      <c r="G285">
        <v>0</v>
      </c>
      <c r="H285">
        <v>0</v>
      </c>
      <c r="I285" s="1">
        <v>45418</v>
      </c>
      <c r="J285" s="1">
        <v>45418</v>
      </c>
      <c r="K285" s="1">
        <v>45418</v>
      </c>
      <c r="L285" s="1">
        <v>45418</v>
      </c>
      <c r="M285" s="1">
        <v>45418</v>
      </c>
      <c r="N285" s="5"/>
      <c r="S285" s="6"/>
      <c r="T285" s="5">
        <f t="shared" si="41"/>
        <v>0</v>
      </c>
      <c r="U285" s="10">
        <f t="shared" si="42"/>
        <v>0</v>
      </c>
      <c r="V285" s="10">
        <f t="shared" si="43"/>
        <v>0</v>
      </c>
      <c r="W285" s="10">
        <f t="shared" si="44"/>
        <v>0</v>
      </c>
      <c r="X285" s="6">
        <f t="shared" si="45"/>
        <v>0</v>
      </c>
      <c r="Y285" s="5">
        <f t="shared" si="46"/>
        <v>0</v>
      </c>
      <c r="Z285" s="10">
        <f t="shared" si="47"/>
        <v>0</v>
      </c>
      <c r="AA285" s="10">
        <f t="shared" si="48"/>
        <v>0</v>
      </c>
      <c r="AB285" s="10">
        <f t="shared" si="49"/>
        <v>0</v>
      </c>
      <c r="AC285" s="6">
        <f t="shared" si="50"/>
        <v>0</v>
      </c>
    </row>
    <row r="286" spans="1:29" x14ac:dyDescent="0.25">
      <c r="A286" t="s">
        <v>240</v>
      </c>
      <c r="B286" t="s">
        <v>243</v>
      </c>
      <c r="C286" s="1" t="s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 s="1">
        <v>45418</v>
      </c>
      <c r="J286" s="1">
        <v>45418</v>
      </c>
      <c r="K286" s="1">
        <v>45418</v>
      </c>
      <c r="L286" s="1">
        <v>45418</v>
      </c>
      <c r="M286" s="1">
        <v>45418</v>
      </c>
      <c r="N286" s="5"/>
      <c r="S286" s="6"/>
      <c r="T286" s="5">
        <f t="shared" si="41"/>
        <v>0</v>
      </c>
      <c r="U286" s="10">
        <f t="shared" si="42"/>
        <v>0</v>
      </c>
      <c r="V286" s="10">
        <f t="shared" si="43"/>
        <v>0</v>
      </c>
      <c r="W286" s="10">
        <f t="shared" si="44"/>
        <v>0</v>
      </c>
      <c r="X286" s="6">
        <f t="shared" si="45"/>
        <v>0</v>
      </c>
      <c r="Y286" s="5">
        <f t="shared" si="46"/>
        <v>0</v>
      </c>
      <c r="Z286" s="10">
        <f t="shared" si="47"/>
        <v>0</v>
      </c>
      <c r="AA286" s="10">
        <f t="shared" si="48"/>
        <v>0</v>
      </c>
      <c r="AB286" s="10">
        <f t="shared" si="49"/>
        <v>0</v>
      </c>
      <c r="AC286" s="6">
        <f t="shared" si="50"/>
        <v>0</v>
      </c>
    </row>
    <row r="287" spans="1:29" x14ac:dyDescent="0.25">
      <c r="A287" t="s">
        <v>240</v>
      </c>
      <c r="B287" t="s">
        <v>244</v>
      </c>
      <c r="C287" s="1" t="s">
        <v>8</v>
      </c>
      <c r="D287">
        <v>0</v>
      </c>
      <c r="E287">
        <v>0</v>
      </c>
      <c r="F287">
        <v>0</v>
      </c>
      <c r="G287">
        <v>0</v>
      </c>
      <c r="H287">
        <v>0</v>
      </c>
      <c r="I287" s="1">
        <v>45418</v>
      </c>
      <c r="J287" s="1">
        <v>45418</v>
      </c>
      <c r="K287" s="1">
        <v>45418</v>
      </c>
      <c r="L287" s="1">
        <v>45418</v>
      </c>
      <c r="M287" s="1">
        <v>45418</v>
      </c>
      <c r="N287" s="5"/>
      <c r="S287" s="6"/>
      <c r="T287" s="5">
        <f t="shared" si="41"/>
        <v>0</v>
      </c>
      <c r="U287" s="10">
        <f t="shared" si="42"/>
        <v>0</v>
      </c>
      <c r="V287" s="10">
        <f t="shared" si="43"/>
        <v>0</v>
      </c>
      <c r="W287" s="10">
        <f t="shared" si="44"/>
        <v>0</v>
      </c>
      <c r="X287" s="6">
        <f t="shared" si="45"/>
        <v>0</v>
      </c>
      <c r="Y287" s="5">
        <f t="shared" si="46"/>
        <v>0</v>
      </c>
      <c r="Z287" s="10">
        <f t="shared" si="47"/>
        <v>0</v>
      </c>
      <c r="AA287" s="10">
        <f t="shared" si="48"/>
        <v>0</v>
      </c>
      <c r="AB287" s="10">
        <f t="shared" si="49"/>
        <v>0</v>
      </c>
      <c r="AC287" s="6">
        <f t="shared" si="50"/>
        <v>0</v>
      </c>
    </row>
    <row r="288" spans="1:29" x14ac:dyDescent="0.25">
      <c r="A288" t="s">
        <v>240</v>
      </c>
      <c r="B288" t="s">
        <v>245</v>
      </c>
      <c r="C288" s="1" t="s">
        <v>8</v>
      </c>
      <c r="D288">
        <v>0</v>
      </c>
      <c r="E288">
        <v>0</v>
      </c>
      <c r="F288">
        <v>0</v>
      </c>
      <c r="G288">
        <v>0</v>
      </c>
      <c r="H288">
        <v>0</v>
      </c>
      <c r="I288" s="1">
        <v>45418</v>
      </c>
      <c r="J288" s="1">
        <v>45418</v>
      </c>
      <c r="K288" s="1">
        <v>45418</v>
      </c>
      <c r="L288" s="1">
        <v>45418</v>
      </c>
      <c r="M288" s="1">
        <v>45418</v>
      </c>
      <c r="N288" s="5"/>
      <c r="S288" s="6"/>
      <c r="T288" s="5">
        <f t="shared" si="41"/>
        <v>0</v>
      </c>
      <c r="U288" s="10">
        <f t="shared" si="42"/>
        <v>0</v>
      </c>
      <c r="V288" s="10">
        <f t="shared" si="43"/>
        <v>0</v>
      </c>
      <c r="W288" s="10">
        <f t="shared" si="44"/>
        <v>0</v>
      </c>
      <c r="X288" s="6">
        <f t="shared" si="45"/>
        <v>0</v>
      </c>
      <c r="Y288" s="5">
        <f t="shared" si="46"/>
        <v>0</v>
      </c>
      <c r="Z288" s="10">
        <f t="shared" si="47"/>
        <v>0</v>
      </c>
      <c r="AA288" s="10">
        <f t="shared" si="48"/>
        <v>0</v>
      </c>
      <c r="AB288" s="10">
        <f t="shared" si="49"/>
        <v>0</v>
      </c>
      <c r="AC288" s="6">
        <f t="shared" si="50"/>
        <v>0</v>
      </c>
    </row>
    <row r="289" spans="1:29" x14ac:dyDescent="0.25">
      <c r="A289" t="s">
        <v>240</v>
      </c>
      <c r="B289" t="s">
        <v>246</v>
      </c>
      <c r="C289" s="1" t="s">
        <v>8</v>
      </c>
      <c r="D289">
        <v>0</v>
      </c>
      <c r="E289">
        <v>0</v>
      </c>
      <c r="F289">
        <v>0</v>
      </c>
      <c r="G289">
        <v>0</v>
      </c>
      <c r="H289">
        <v>0</v>
      </c>
      <c r="I289" s="1">
        <v>45418</v>
      </c>
      <c r="J289" s="1">
        <v>45418</v>
      </c>
      <c r="K289" s="1">
        <v>45418</v>
      </c>
      <c r="L289" s="1">
        <v>45418</v>
      </c>
      <c r="M289" s="1">
        <v>45418</v>
      </c>
      <c r="N289" s="5"/>
      <c r="S289" s="6"/>
      <c r="T289" s="5">
        <f t="shared" si="41"/>
        <v>0</v>
      </c>
      <c r="U289" s="10">
        <f t="shared" si="42"/>
        <v>0</v>
      </c>
      <c r="V289" s="10">
        <f t="shared" si="43"/>
        <v>0</v>
      </c>
      <c r="W289" s="10">
        <f t="shared" si="44"/>
        <v>0</v>
      </c>
      <c r="X289" s="6">
        <f t="shared" si="45"/>
        <v>0</v>
      </c>
      <c r="Y289" s="5">
        <f t="shared" si="46"/>
        <v>0</v>
      </c>
      <c r="Z289" s="10">
        <f t="shared" si="47"/>
        <v>0</v>
      </c>
      <c r="AA289" s="10">
        <f t="shared" si="48"/>
        <v>0</v>
      </c>
      <c r="AB289" s="10">
        <f t="shared" si="49"/>
        <v>0</v>
      </c>
      <c r="AC289" s="6">
        <f t="shared" si="50"/>
        <v>0</v>
      </c>
    </row>
    <row r="290" spans="1:29" x14ac:dyDescent="0.25">
      <c r="A290" t="s">
        <v>240</v>
      </c>
      <c r="B290" t="s">
        <v>247</v>
      </c>
      <c r="C290" s="1" t="s">
        <v>8</v>
      </c>
      <c r="D290">
        <v>0</v>
      </c>
      <c r="E290">
        <v>0</v>
      </c>
      <c r="F290">
        <v>0</v>
      </c>
      <c r="G290">
        <v>0</v>
      </c>
      <c r="H290">
        <v>0</v>
      </c>
      <c r="I290" s="1">
        <v>45418</v>
      </c>
      <c r="J290" s="1">
        <v>45418</v>
      </c>
      <c r="K290" s="1">
        <v>45418</v>
      </c>
      <c r="L290" s="1">
        <v>45418</v>
      </c>
      <c r="M290" s="1">
        <v>45418</v>
      </c>
      <c r="N290" s="5"/>
      <c r="S290" s="6"/>
      <c r="T290" s="5">
        <f t="shared" si="41"/>
        <v>0</v>
      </c>
      <c r="U290" s="10">
        <f t="shared" si="42"/>
        <v>0</v>
      </c>
      <c r="V290" s="10">
        <f t="shared" si="43"/>
        <v>0</v>
      </c>
      <c r="W290" s="10">
        <f t="shared" si="44"/>
        <v>0</v>
      </c>
      <c r="X290" s="6">
        <f t="shared" si="45"/>
        <v>0</v>
      </c>
      <c r="Y290" s="5">
        <f t="shared" si="46"/>
        <v>0</v>
      </c>
      <c r="Z290" s="10">
        <f t="shared" si="47"/>
        <v>0</v>
      </c>
      <c r="AA290" s="10">
        <f t="shared" si="48"/>
        <v>0</v>
      </c>
      <c r="AB290" s="10">
        <f t="shared" si="49"/>
        <v>0</v>
      </c>
      <c r="AC290" s="6">
        <f t="shared" si="50"/>
        <v>0</v>
      </c>
    </row>
    <row r="291" spans="1:29" x14ac:dyDescent="0.25">
      <c r="A291" t="s">
        <v>240</v>
      </c>
      <c r="B291" t="s">
        <v>248</v>
      </c>
      <c r="C291" s="1" t="s">
        <v>8</v>
      </c>
      <c r="D291">
        <v>0</v>
      </c>
      <c r="E291">
        <v>0</v>
      </c>
      <c r="F291">
        <v>0</v>
      </c>
      <c r="G291">
        <v>0</v>
      </c>
      <c r="H291">
        <v>0</v>
      </c>
      <c r="I291" s="1">
        <v>45418</v>
      </c>
      <c r="J291" s="1">
        <v>45418</v>
      </c>
      <c r="K291" s="1">
        <v>45418</v>
      </c>
      <c r="L291" s="1">
        <v>45418</v>
      </c>
      <c r="M291" s="1">
        <v>45418</v>
      </c>
      <c r="N291" s="5"/>
      <c r="S291" s="6"/>
      <c r="T291" s="5">
        <f t="shared" si="41"/>
        <v>0</v>
      </c>
      <c r="U291" s="10">
        <f t="shared" si="42"/>
        <v>0</v>
      </c>
      <c r="V291" s="10">
        <f t="shared" si="43"/>
        <v>0</v>
      </c>
      <c r="W291" s="10">
        <f t="shared" si="44"/>
        <v>0</v>
      </c>
      <c r="X291" s="6">
        <f t="shared" si="45"/>
        <v>0</v>
      </c>
      <c r="Y291" s="5">
        <f t="shared" si="46"/>
        <v>0</v>
      </c>
      <c r="Z291" s="10">
        <f t="shared" si="47"/>
        <v>0</v>
      </c>
      <c r="AA291" s="10">
        <f t="shared" si="48"/>
        <v>0</v>
      </c>
      <c r="AB291" s="10">
        <f t="shared" si="49"/>
        <v>0</v>
      </c>
      <c r="AC291" s="6">
        <f t="shared" si="50"/>
        <v>0</v>
      </c>
    </row>
    <row r="292" spans="1:29" x14ac:dyDescent="0.25">
      <c r="A292" t="s">
        <v>240</v>
      </c>
      <c r="B292" t="s">
        <v>249</v>
      </c>
      <c r="C292" s="1" t="s">
        <v>8</v>
      </c>
      <c r="D292">
        <v>0</v>
      </c>
      <c r="E292">
        <v>0</v>
      </c>
      <c r="F292">
        <v>0</v>
      </c>
      <c r="G292">
        <v>0</v>
      </c>
      <c r="H292">
        <v>0</v>
      </c>
      <c r="I292" s="1">
        <v>45418</v>
      </c>
      <c r="J292" s="1">
        <v>45418</v>
      </c>
      <c r="K292" s="1">
        <v>45418</v>
      </c>
      <c r="L292" s="1">
        <v>45418</v>
      </c>
      <c r="M292" s="1">
        <v>45418</v>
      </c>
      <c r="N292" s="5"/>
      <c r="S292" s="6"/>
      <c r="T292" s="5">
        <f t="shared" si="41"/>
        <v>0</v>
      </c>
      <c r="U292" s="10">
        <f t="shared" si="42"/>
        <v>0</v>
      </c>
      <c r="V292" s="10">
        <f t="shared" si="43"/>
        <v>0</v>
      </c>
      <c r="W292" s="10">
        <f t="shared" si="44"/>
        <v>0</v>
      </c>
      <c r="X292" s="6">
        <f t="shared" si="45"/>
        <v>0</v>
      </c>
      <c r="Y292" s="5">
        <f t="shared" si="46"/>
        <v>0</v>
      </c>
      <c r="Z292" s="10">
        <f t="shared" si="47"/>
        <v>0</v>
      </c>
      <c r="AA292" s="10">
        <f t="shared" si="48"/>
        <v>0</v>
      </c>
      <c r="AB292" s="10">
        <f t="shared" si="49"/>
        <v>0</v>
      </c>
      <c r="AC292" s="6">
        <f t="shared" si="50"/>
        <v>0</v>
      </c>
    </row>
    <row r="293" spans="1:29" x14ac:dyDescent="0.25">
      <c r="A293" t="s">
        <v>250</v>
      </c>
      <c r="B293" t="s">
        <v>214</v>
      </c>
      <c r="C293" s="1" t="s">
        <v>9</v>
      </c>
      <c r="D293">
        <v>0</v>
      </c>
      <c r="E293">
        <v>0</v>
      </c>
      <c r="F293">
        <v>0</v>
      </c>
      <c r="G293">
        <v>0</v>
      </c>
      <c r="H293">
        <v>0</v>
      </c>
      <c r="I293" s="1">
        <v>45415</v>
      </c>
      <c r="J293" s="1">
        <v>45415</v>
      </c>
      <c r="K293" s="1">
        <v>45415</v>
      </c>
      <c r="L293" s="1">
        <v>45415</v>
      </c>
      <c r="M293" s="1">
        <v>45415</v>
      </c>
      <c r="N293" s="5"/>
      <c r="S293" s="6"/>
      <c r="T293" s="5">
        <f t="shared" si="41"/>
        <v>0</v>
      </c>
      <c r="U293" s="10">
        <f t="shared" si="42"/>
        <v>0</v>
      </c>
      <c r="V293" s="10">
        <f t="shared" si="43"/>
        <v>0</v>
      </c>
      <c r="W293" s="10">
        <f t="shared" si="44"/>
        <v>0</v>
      </c>
      <c r="X293" s="6">
        <f t="shared" si="45"/>
        <v>0</v>
      </c>
      <c r="Y293" s="5">
        <f t="shared" si="46"/>
        <v>0</v>
      </c>
      <c r="Z293" s="10">
        <f t="shared" si="47"/>
        <v>0</v>
      </c>
      <c r="AA293" s="10">
        <f t="shared" si="48"/>
        <v>0</v>
      </c>
      <c r="AB293" s="10">
        <f t="shared" si="49"/>
        <v>0</v>
      </c>
      <c r="AC293" s="6">
        <f t="shared" si="50"/>
        <v>0</v>
      </c>
    </row>
    <row r="294" spans="1:29" x14ac:dyDescent="0.25">
      <c r="A294" t="s">
        <v>251</v>
      </c>
      <c r="B294" t="s">
        <v>252</v>
      </c>
      <c r="C294" s="1" t="s">
        <v>9</v>
      </c>
      <c r="D294">
        <v>0</v>
      </c>
      <c r="E294">
        <v>37</v>
      </c>
      <c r="F294">
        <v>0</v>
      </c>
      <c r="G294">
        <v>0</v>
      </c>
      <c r="H294">
        <v>0</v>
      </c>
      <c r="I294" s="1">
        <v>45415</v>
      </c>
      <c r="J294" s="1">
        <v>45452</v>
      </c>
      <c r="K294" s="1">
        <v>45415</v>
      </c>
      <c r="L294" s="1">
        <v>45415</v>
      </c>
      <c r="M294" s="1">
        <v>45415</v>
      </c>
      <c r="N294" s="5">
        <v>158.5764234545378</v>
      </c>
      <c r="P294">
        <v>163.23711879961661</v>
      </c>
      <c r="S294" s="6"/>
      <c r="T294" s="5">
        <f t="shared" si="41"/>
        <v>0</v>
      </c>
      <c r="U294" s="10">
        <f t="shared" si="42"/>
        <v>2.9390846656438763</v>
      </c>
      <c r="V294" s="10">
        <f t="shared" si="43"/>
        <v>0</v>
      </c>
      <c r="W294" s="10">
        <f t="shared" si="44"/>
        <v>0</v>
      </c>
      <c r="X294" s="6">
        <f t="shared" si="45"/>
        <v>0</v>
      </c>
      <c r="Y294" s="5">
        <f t="shared" si="46"/>
        <v>0</v>
      </c>
      <c r="Z294" s="10">
        <f t="shared" si="47"/>
        <v>29.390846656438761</v>
      </c>
      <c r="AA294" s="10">
        <f t="shared" si="48"/>
        <v>0</v>
      </c>
      <c r="AB294" s="10">
        <f t="shared" si="49"/>
        <v>0</v>
      </c>
      <c r="AC294" s="6">
        <f t="shared" si="50"/>
        <v>0</v>
      </c>
    </row>
    <row r="295" spans="1:29" x14ac:dyDescent="0.25">
      <c r="A295" t="s">
        <v>251</v>
      </c>
      <c r="B295" t="s">
        <v>253</v>
      </c>
      <c r="C295" s="1" t="s">
        <v>9</v>
      </c>
      <c r="D295">
        <v>0</v>
      </c>
      <c r="E295">
        <v>0</v>
      </c>
      <c r="F295">
        <v>0</v>
      </c>
      <c r="G295">
        <v>0</v>
      </c>
      <c r="H295">
        <v>0</v>
      </c>
      <c r="I295" s="1">
        <v>45415</v>
      </c>
      <c r="J295" s="1">
        <v>45415</v>
      </c>
      <c r="K295" s="1">
        <v>45415</v>
      </c>
      <c r="L295" s="1">
        <v>45415</v>
      </c>
      <c r="M295" s="1">
        <v>45415</v>
      </c>
      <c r="N295" s="5"/>
      <c r="S295" s="6"/>
      <c r="T295" s="5">
        <f t="shared" si="41"/>
        <v>0</v>
      </c>
      <c r="U295" s="10">
        <f t="shared" si="42"/>
        <v>0</v>
      </c>
      <c r="V295" s="10">
        <f t="shared" si="43"/>
        <v>0</v>
      </c>
      <c r="W295" s="10">
        <f t="shared" si="44"/>
        <v>0</v>
      </c>
      <c r="X295" s="6">
        <f t="shared" si="45"/>
        <v>0</v>
      </c>
      <c r="Y295" s="5">
        <f t="shared" si="46"/>
        <v>0</v>
      </c>
      <c r="Z295" s="10">
        <f t="shared" si="47"/>
        <v>0</v>
      </c>
      <c r="AA295" s="10">
        <f t="shared" si="48"/>
        <v>0</v>
      </c>
      <c r="AB295" s="10">
        <f t="shared" si="49"/>
        <v>0</v>
      </c>
      <c r="AC295" s="6">
        <f t="shared" si="50"/>
        <v>0</v>
      </c>
    </row>
    <row r="296" spans="1:29" x14ac:dyDescent="0.25">
      <c r="A296" t="s">
        <v>29</v>
      </c>
      <c r="B296" t="s">
        <v>247</v>
      </c>
      <c r="C296" s="1" t="s">
        <v>10</v>
      </c>
      <c r="D296">
        <v>0</v>
      </c>
      <c r="E296">
        <v>0</v>
      </c>
      <c r="F296">
        <v>0</v>
      </c>
      <c r="G296">
        <v>0</v>
      </c>
      <c r="H296">
        <v>0</v>
      </c>
      <c r="I296" s="1">
        <v>45414</v>
      </c>
      <c r="J296" s="1">
        <v>45414</v>
      </c>
      <c r="K296" s="1">
        <v>45414</v>
      </c>
      <c r="L296" s="1">
        <v>45414</v>
      </c>
      <c r="M296" s="1">
        <v>45414</v>
      </c>
      <c r="N296" s="5"/>
      <c r="S296" s="6"/>
      <c r="T296" s="5">
        <f t="shared" si="41"/>
        <v>0</v>
      </c>
      <c r="U296" s="10">
        <f t="shared" si="42"/>
        <v>0</v>
      </c>
      <c r="V296" s="10">
        <f t="shared" si="43"/>
        <v>0</v>
      </c>
      <c r="W296" s="10">
        <f t="shared" si="44"/>
        <v>0</v>
      </c>
      <c r="X296" s="6">
        <f t="shared" si="45"/>
        <v>0</v>
      </c>
      <c r="Y296" s="5">
        <f t="shared" si="46"/>
        <v>0</v>
      </c>
      <c r="Z296" s="10">
        <f t="shared" si="47"/>
        <v>0</v>
      </c>
      <c r="AA296" s="10">
        <f t="shared" si="48"/>
        <v>0</v>
      </c>
      <c r="AB296" s="10">
        <f t="shared" si="49"/>
        <v>0</v>
      </c>
      <c r="AC296" s="6">
        <f t="shared" si="50"/>
        <v>0</v>
      </c>
    </row>
    <row r="297" spans="1:29" x14ac:dyDescent="0.25">
      <c r="A297" t="s">
        <v>29</v>
      </c>
      <c r="B297" t="s">
        <v>254</v>
      </c>
      <c r="C297" s="1" t="s">
        <v>10</v>
      </c>
      <c r="D297">
        <v>0</v>
      </c>
      <c r="E297">
        <v>37</v>
      </c>
      <c r="F297">
        <v>0</v>
      </c>
      <c r="G297">
        <v>0</v>
      </c>
      <c r="H297">
        <v>0</v>
      </c>
      <c r="I297" s="1">
        <v>45414</v>
      </c>
      <c r="J297" s="1">
        <v>45451</v>
      </c>
      <c r="K297" s="1">
        <v>45414</v>
      </c>
      <c r="L297" s="1">
        <v>45414</v>
      </c>
      <c r="M297" s="1">
        <v>45414</v>
      </c>
      <c r="N297" s="5">
        <v>325.33821940804472</v>
      </c>
      <c r="P297">
        <v>318.05993863529818</v>
      </c>
      <c r="S297" s="6"/>
      <c r="T297" s="5">
        <f t="shared" si="41"/>
        <v>0</v>
      </c>
      <c r="U297" s="10">
        <f t="shared" si="42"/>
        <v>-2.2371428681171923</v>
      </c>
      <c r="V297" s="10">
        <f t="shared" si="43"/>
        <v>0</v>
      </c>
      <c r="W297" s="10">
        <f t="shared" si="44"/>
        <v>0</v>
      </c>
      <c r="X297" s="6">
        <f t="shared" si="45"/>
        <v>0</v>
      </c>
      <c r="Y297" s="5">
        <f t="shared" si="46"/>
        <v>0</v>
      </c>
      <c r="Z297" s="10">
        <f t="shared" si="47"/>
        <v>-22.371428681171924</v>
      </c>
      <c r="AA297" s="10">
        <f t="shared" si="48"/>
        <v>0</v>
      </c>
      <c r="AB297" s="10">
        <f t="shared" si="49"/>
        <v>0</v>
      </c>
      <c r="AC297" s="6">
        <f t="shared" si="50"/>
        <v>0</v>
      </c>
    </row>
    <row r="298" spans="1:29" x14ac:dyDescent="0.25">
      <c r="A298" t="s">
        <v>29</v>
      </c>
      <c r="B298" t="s">
        <v>255</v>
      </c>
      <c r="C298" s="1" t="s">
        <v>10</v>
      </c>
      <c r="D298">
        <v>0</v>
      </c>
      <c r="E298">
        <v>0</v>
      </c>
      <c r="F298">
        <v>0</v>
      </c>
      <c r="G298">
        <v>0</v>
      </c>
      <c r="H298">
        <v>0</v>
      </c>
      <c r="I298" s="1">
        <v>45414</v>
      </c>
      <c r="J298" s="1">
        <v>45414</v>
      </c>
      <c r="K298" s="1">
        <v>45414</v>
      </c>
      <c r="L298" s="1">
        <v>45414</v>
      </c>
      <c r="M298" s="1">
        <v>45414</v>
      </c>
      <c r="N298" s="5"/>
      <c r="S298" s="6"/>
      <c r="T298" s="5">
        <f t="shared" si="41"/>
        <v>0</v>
      </c>
      <c r="U298" s="10">
        <f t="shared" si="42"/>
        <v>0</v>
      </c>
      <c r="V298" s="10">
        <f t="shared" si="43"/>
        <v>0</v>
      </c>
      <c r="W298" s="10">
        <f t="shared" si="44"/>
        <v>0</v>
      </c>
      <c r="X298" s="6">
        <f t="shared" si="45"/>
        <v>0</v>
      </c>
      <c r="Y298" s="5">
        <f t="shared" si="46"/>
        <v>0</v>
      </c>
      <c r="Z298" s="10">
        <f t="shared" si="47"/>
        <v>0</v>
      </c>
      <c r="AA298" s="10">
        <f t="shared" si="48"/>
        <v>0</v>
      </c>
      <c r="AB298" s="10">
        <f t="shared" si="49"/>
        <v>0</v>
      </c>
      <c r="AC298" s="6">
        <f t="shared" si="50"/>
        <v>0</v>
      </c>
    </row>
    <row r="299" spans="1:29" x14ac:dyDescent="0.25">
      <c r="A299" t="s">
        <v>29</v>
      </c>
      <c r="B299" t="s">
        <v>256</v>
      </c>
      <c r="C299" s="1" t="s">
        <v>10</v>
      </c>
      <c r="D299">
        <v>0</v>
      </c>
      <c r="E299">
        <v>0</v>
      </c>
      <c r="F299">
        <v>0</v>
      </c>
      <c r="G299">
        <v>0</v>
      </c>
      <c r="H299">
        <v>0</v>
      </c>
      <c r="I299" s="1">
        <v>45414</v>
      </c>
      <c r="J299" s="1">
        <v>45414</v>
      </c>
      <c r="K299" s="1">
        <v>45414</v>
      </c>
      <c r="L299" s="1">
        <v>45414</v>
      </c>
      <c r="M299" s="1">
        <v>45414</v>
      </c>
      <c r="N299" s="5"/>
      <c r="S299" s="6"/>
      <c r="T299" s="5">
        <f t="shared" si="41"/>
        <v>0</v>
      </c>
      <c r="U299" s="10">
        <f t="shared" si="42"/>
        <v>0</v>
      </c>
      <c r="V299" s="10">
        <f t="shared" si="43"/>
        <v>0</v>
      </c>
      <c r="W299" s="10">
        <f t="shared" si="44"/>
        <v>0</v>
      </c>
      <c r="X299" s="6">
        <f t="shared" si="45"/>
        <v>0</v>
      </c>
      <c r="Y299" s="5">
        <f t="shared" si="46"/>
        <v>0</v>
      </c>
      <c r="Z299" s="10">
        <f t="shared" si="47"/>
        <v>0</v>
      </c>
      <c r="AA299" s="10">
        <f t="shared" si="48"/>
        <v>0</v>
      </c>
      <c r="AB299" s="10">
        <f t="shared" si="49"/>
        <v>0</v>
      </c>
      <c r="AC299" s="6">
        <f t="shared" si="50"/>
        <v>0</v>
      </c>
    </row>
    <row r="300" spans="1:29" x14ac:dyDescent="0.25">
      <c r="A300" t="s">
        <v>29</v>
      </c>
      <c r="B300" t="s">
        <v>257</v>
      </c>
      <c r="C300" s="1" t="s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 s="1">
        <v>45414</v>
      </c>
      <c r="J300" s="1">
        <v>45414</v>
      </c>
      <c r="K300" s="1">
        <v>45414</v>
      </c>
      <c r="L300" s="1">
        <v>45414</v>
      </c>
      <c r="M300" s="1">
        <v>45414</v>
      </c>
      <c r="N300" s="5"/>
      <c r="S300" s="6"/>
      <c r="T300" s="5">
        <f t="shared" si="41"/>
        <v>0</v>
      </c>
      <c r="U300" s="10">
        <f t="shared" si="42"/>
        <v>0</v>
      </c>
      <c r="V300" s="10">
        <f t="shared" si="43"/>
        <v>0</v>
      </c>
      <c r="W300" s="10">
        <f t="shared" si="44"/>
        <v>0</v>
      </c>
      <c r="X300" s="6">
        <f t="shared" si="45"/>
        <v>0</v>
      </c>
      <c r="Y300" s="5">
        <f t="shared" si="46"/>
        <v>0</v>
      </c>
      <c r="Z300" s="10">
        <f t="shared" si="47"/>
        <v>0</v>
      </c>
      <c r="AA300" s="10">
        <f t="shared" si="48"/>
        <v>0</v>
      </c>
      <c r="AB300" s="10">
        <f t="shared" si="49"/>
        <v>0</v>
      </c>
      <c r="AC300" s="6">
        <f t="shared" si="50"/>
        <v>0</v>
      </c>
    </row>
    <row r="301" spans="1:29" x14ac:dyDescent="0.25">
      <c r="A301" t="s">
        <v>29</v>
      </c>
      <c r="B301" t="s">
        <v>258</v>
      </c>
      <c r="C301" s="1" t="s">
        <v>10</v>
      </c>
      <c r="D301">
        <v>0</v>
      </c>
      <c r="E301">
        <v>0</v>
      </c>
      <c r="F301">
        <v>0</v>
      </c>
      <c r="G301">
        <v>0</v>
      </c>
      <c r="H301">
        <v>0</v>
      </c>
      <c r="I301" s="1">
        <v>45414</v>
      </c>
      <c r="J301" s="1">
        <v>45414</v>
      </c>
      <c r="K301" s="1">
        <v>45414</v>
      </c>
      <c r="L301" s="1">
        <v>45414</v>
      </c>
      <c r="M301" s="1">
        <v>45414</v>
      </c>
      <c r="N301" s="5"/>
      <c r="S301" s="6"/>
      <c r="T301" s="5">
        <f t="shared" si="41"/>
        <v>0</v>
      </c>
      <c r="U301" s="10">
        <f t="shared" si="42"/>
        <v>0</v>
      </c>
      <c r="V301" s="10">
        <f t="shared" si="43"/>
        <v>0</v>
      </c>
      <c r="W301" s="10">
        <f t="shared" si="44"/>
        <v>0</v>
      </c>
      <c r="X301" s="6">
        <f t="shared" si="45"/>
        <v>0</v>
      </c>
      <c r="Y301" s="5">
        <f t="shared" si="46"/>
        <v>0</v>
      </c>
      <c r="Z301" s="10">
        <f t="shared" si="47"/>
        <v>0</v>
      </c>
      <c r="AA301" s="10">
        <f t="shared" si="48"/>
        <v>0</v>
      </c>
      <c r="AB301" s="10">
        <f t="shared" si="49"/>
        <v>0</v>
      </c>
      <c r="AC301" s="6">
        <f t="shared" si="50"/>
        <v>0</v>
      </c>
    </row>
    <row r="302" spans="1:29" x14ac:dyDescent="0.25">
      <c r="A302" t="s">
        <v>29</v>
      </c>
      <c r="B302" t="s">
        <v>43</v>
      </c>
      <c r="C302" s="1" t="s">
        <v>10</v>
      </c>
      <c r="D302">
        <v>0</v>
      </c>
      <c r="E302">
        <v>0</v>
      </c>
      <c r="F302">
        <v>0</v>
      </c>
      <c r="G302">
        <v>0</v>
      </c>
      <c r="H302">
        <v>0</v>
      </c>
      <c r="I302" s="1">
        <v>45414</v>
      </c>
      <c r="J302" s="1">
        <v>45414</v>
      </c>
      <c r="K302" s="1">
        <v>45414</v>
      </c>
      <c r="L302" s="1">
        <v>45414</v>
      </c>
      <c r="M302" s="1">
        <v>45414</v>
      </c>
      <c r="N302" s="5"/>
      <c r="S302" s="6"/>
      <c r="T302" s="5">
        <f t="shared" si="41"/>
        <v>0</v>
      </c>
      <c r="U302" s="10">
        <f t="shared" si="42"/>
        <v>0</v>
      </c>
      <c r="V302" s="10">
        <f t="shared" si="43"/>
        <v>0</v>
      </c>
      <c r="W302" s="10">
        <f t="shared" si="44"/>
        <v>0</v>
      </c>
      <c r="X302" s="6">
        <f t="shared" si="45"/>
        <v>0</v>
      </c>
      <c r="Y302" s="5">
        <f t="shared" si="46"/>
        <v>0</v>
      </c>
      <c r="Z302" s="10">
        <f t="shared" si="47"/>
        <v>0</v>
      </c>
      <c r="AA302" s="10">
        <f t="shared" si="48"/>
        <v>0</v>
      </c>
      <c r="AB302" s="10">
        <f t="shared" si="49"/>
        <v>0</v>
      </c>
      <c r="AC302" s="6">
        <f t="shared" si="50"/>
        <v>0</v>
      </c>
    </row>
    <row r="303" spans="1:29" x14ac:dyDescent="0.25">
      <c r="A303" t="s">
        <v>29</v>
      </c>
      <c r="B303" t="s">
        <v>75</v>
      </c>
      <c r="C303" s="1" t="s">
        <v>10</v>
      </c>
      <c r="D303">
        <v>0</v>
      </c>
      <c r="E303">
        <v>0</v>
      </c>
      <c r="F303">
        <v>0</v>
      </c>
      <c r="G303">
        <v>0</v>
      </c>
      <c r="H303">
        <v>0</v>
      </c>
      <c r="I303" s="1">
        <v>45414</v>
      </c>
      <c r="J303" s="1">
        <v>45414</v>
      </c>
      <c r="K303" s="1">
        <v>45414</v>
      </c>
      <c r="L303" s="1">
        <v>45414</v>
      </c>
      <c r="M303" s="1">
        <v>45414</v>
      </c>
      <c r="N303" s="5"/>
      <c r="S303" s="6"/>
      <c r="T303" s="5">
        <f t="shared" si="41"/>
        <v>0</v>
      </c>
      <c r="U303" s="10">
        <f t="shared" si="42"/>
        <v>0</v>
      </c>
      <c r="V303" s="10">
        <f t="shared" si="43"/>
        <v>0</v>
      </c>
      <c r="W303" s="10">
        <f t="shared" si="44"/>
        <v>0</v>
      </c>
      <c r="X303" s="6">
        <f t="shared" si="45"/>
        <v>0</v>
      </c>
      <c r="Y303" s="5">
        <f t="shared" si="46"/>
        <v>0</v>
      </c>
      <c r="Z303" s="10">
        <f t="shared" si="47"/>
        <v>0</v>
      </c>
      <c r="AA303" s="10">
        <f t="shared" si="48"/>
        <v>0</v>
      </c>
      <c r="AB303" s="10">
        <f t="shared" si="49"/>
        <v>0</v>
      </c>
      <c r="AC303" s="6">
        <f t="shared" si="50"/>
        <v>0</v>
      </c>
    </row>
    <row r="304" spans="1:29" x14ac:dyDescent="0.25">
      <c r="A304" t="s">
        <v>29</v>
      </c>
      <c r="B304" t="s">
        <v>259</v>
      </c>
      <c r="C304" s="1" t="s">
        <v>10</v>
      </c>
      <c r="D304">
        <v>0</v>
      </c>
      <c r="E304">
        <v>0</v>
      </c>
      <c r="F304">
        <v>0</v>
      </c>
      <c r="G304">
        <v>0</v>
      </c>
      <c r="H304">
        <v>0</v>
      </c>
      <c r="I304" s="1">
        <v>45414</v>
      </c>
      <c r="J304" s="1">
        <v>45414</v>
      </c>
      <c r="K304" s="1">
        <v>45414</v>
      </c>
      <c r="L304" s="1">
        <v>45414</v>
      </c>
      <c r="M304" s="1">
        <v>45414</v>
      </c>
      <c r="N304" s="5"/>
      <c r="S304" s="6"/>
      <c r="T304" s="5">
        <f t="shared" si="41"/>
        <v>0</v>
      </c>
      <c r="U304" s="10">
        <f t="shared" si="42"/>
        <v>0</v>
      </c>
      <c r="V304" s="10">
        <f t="shared" si="43"/>
        <v>0</v>
      </c>
      <c r="W304" s="10">
        <f t="shared" si="44"/>
        <v>0</v>
      </c>
      <c r="X304" s="6">
        <f t="shared" si="45"/>
        <v>0</v>
      </c>
      <c r="Y304" s="5">
        <f t="shared" si="46"/>
        <v>0</v>
      </c>
      <c r="Z304" s="10">
        <f t="shared" si="47"/>
        <v>0</v>
      </c>
      <c r="AA304" s="10">
        <f t="shared" si="48"/>
        <v>0</v>
      </c>
      <c r="AB304" s="10">
        <f t="shared" si="49"/>
        <v>0</v>
      </c>
      <c r="AC304" s="6">
        <f t="shared" si="50"/>
        <v>0</v>
      </c>
    </row>
    <row r="305" spans="1:29" x14ac:dyDescent="0.25">
      <c r="A305" t="s">
        <v>29</v>
      </c>
      <c r="B305" t="s">
        <v>260</v>
      </c>
      <c r="C305" s="1" t="s">
        <v>10</v>
      </c>
      <c r="D305">
        <v>0</v>
      </c>
      <c r="E305">
        <v>0</v>
      </c>
      <c r="F305">
        <v>0</v>
      </c>
      <c r="G305">
        <v>0</v>
      </c>
      <c r="H305">
        <v>0</v>
      </c>
      <c r="I305" s="1">
        <v>45414</v>
      </c>
      <c r="J305" s="1">
        <v>45414</v>
      </c>
      <c r="K305" s="1">
        <v>45414</v>
      </c>
      <c r="L305" s="1">
        <v>45414</v>
      </c>
      <c r="M305" s="1">
        <v>45414</v>
      </c>
      <c r="N305" s="5"/>
      <c r="S305" s="6"/>
      <c r="T305" s="5">
        <f t="shared" si="41"/>
        <v>0</v>
      </c>
      <c r="U305" s="10">
        <f t="shared" si="42"/>
        <v>0</v>
      </c>
      <c r="V305" s="10">
        <f t="shared" si="43"/>
        <v>0</v>
      </c>
      <c r="W305" s="10">
        <f t="shared" si="44"/>
        <v>0</v>
      </c>
      <c r="X305" s="6">
        <f t="shared" si="45"/>
        <v>0</v>
      </c>
      <c r="Y305" s="5">
        <f t="shared" si="46"/>
        <v>0</v>
      </c>
      <c r="Z305" s="10">
        <f t="shared" si="47"/>
        <v>0</v>
      </c>
      <c r="AA305" s="10">
        <f t="shared" si="48"/>
        <v>0</v>
      </c>
      <c r="AB305" s="10">
        <f t="shared" si="49"/>
        <v>0</v>
      </c>
      <c r="AC305" s="6">
        <f t="shared" si="50"/>
        <v>0</v>
      </c>
    </row>
    <row r="306" spans="1:29" x14ac:dyDescent="0.25">
      <c r="A306" t="s">
        <v>29</v>
      </c>
      <c r="B306" t="s">
        <v>27</v>
      </c>
      <c r="C306" s="1" t="s">
        <v>10</v>
      </c>
      <c r="D306">
        <v>0</v>
      </c>
      <c r="E306">
        <v>0</v>
      </c>
      <c r="F306">
        <v>0</v>
      </c>
      <c r="G306">
        <v>0</v>
      </c>
      <c r="H306">
        <v>0</v>
      </c>
      <c r="I306" s="1">
        <v>45414</v>
      </c>
      <c r="J306" s="1">
        <v>45414</v>
      </c>
      <c r="K306" s="1">
        <v>45414</v>
      </c>
      <c r="L306" s="1">
        <v>45414</v>
      </c>
      <c r="M306" s="1">
        <v>45414</v>
      </c>
      <c r="N306" s="5"/>
      <c r="S306" s="6"/>
      <c r="T306" s="5">
        <f t="shared" si="41"/>
        <v>0</v>
      </c>
      <c r="U306" s="10">
        <f t="shared" si="42"/>
        <v>0</v>
      </c>
      <c r="V306" s="10">
        <f t="shared" si="43"/>
        <v>0</v>
      </c>
      <c r="W306" s="10">
        <f t="shared" si="44"/>
        <v>0</v>
      </c>
      <c r="X306" s="6">
        <f t="shared" si="45"/>
        <v>0</v>
      </c>
      <c r="Y306" s="5">
        <f t="shared" si="46"/>
        <v>0</v>
      </c>
      <c r="Z306" s="10">
        <f t="shared" si="47"/>
        <v>0</v>
      </c>
      <c r="AA306" s="10">
        <f t="shared" si="48"/>
        <v>0</v>
      </c>
      <c r="AB306" s="10">
        <f t="shared" si="49"/>
        <v>0</v>
      </c>
      <c r="AC306" s="6">
        <f t="shared" si="50"/>
        <v>0</v>
      </c>
    </row>
    <row r="307" spans="1:29" x14ac:dyDescent="0.25">
      <c r="A307" t="s">
        <v>261</v>
      </c>
      <c r="B307" t="s">
        <v>134</v>
      </c>
      <c r="C307" s="1" t="s">
        <v>10</v>
      </c>
      <c r="D307">
        <v>0</v>
      </c>
      <c r="E307">
        <v>37</v>
      </c>
      <c r="F307">
        <v>0</v>
      </c>
      <c r="G307">
        <v>0</v>
      </c>
      <c r="H307">
        <v>0</v>
      </c>
      <c r="I307" s="1">
        <v>45414</v>
      </c>
      <c r="J307" s="1">
        <v>45451</v>
      </c>
      <c r="K307" s="1">
        <v>45414</v>
      </c>
      <c r="L307" s="1">
        <v>45414</v>
      </c>
      <c r="M307" s="1">
        <v>45414</v>
      </c>
      <c r="N307" s="5">
        <v>161.2947659287845</v>
      </c>
      <c r="P307">
        <v>173.9530774477806</v>
      </c>
      <c r="S307" s="6"/>
      <c r="T307" s="5">
        <f t="shared" si="41"/>
        <v>0</v>
      </c>
      <c r="U307" s="10">
        <f t="shared" si="42"/>
        <v>7.8479369408583688</v>
      </c>
      <c r="V307" s="10">
        <f t="shared" si="43"/>
        <v>0</v>
      </c>
      <c r="W307" s="10">
        <f t="shared" si="44"/>
        <v>0</v>
      </c>
      <c r="X307" s="6">
        <f t="shared" si="45"/>
        <v>0</v>
      </c>
      <c r="Y307" s="5">
        <f t="shared" si="46"/>
        <v>0</v>
      </c>
      <c r="Z307" s="10">
        <f t="shared" si="47"/>
        <v>78.479369408583693</v>
      </c>
      <c r="AA307" s="10">
        <f t="shared" si="48"/>
        <v>0</v>
      </c>
      <c r="AB307" s="10">
        <f t="shared" si="49"/>
        <v>0</v>
      </c>
      <c r="AC307" s="6">
        <f t="shared" si="50"/>
        <v>0</v>
      </c>
    </row>
    <row r="308" spans="1:29" x14ac:dyDescent="0.25">
      <c r="A308" t="s">
        <v>262</v>
      </c>
      <c r="B308" t="s">
        <v>263</v>
      </c>
      <c r="C308" s="1" t="s">
        <v>11</v>
      </c>
      <c r="D308">
        <v>0</v>
      </c>
      <c r="E308">
        <v>0</v>
      </c>
      <c r="F308">
        <v>0</v>
      </c>
      <c r="G308">
        <v>0</v>
      </c>
      <c r="H308">
        <v>17</v>
      </c>
      <c r="I308" s="1">
        <v>45412</v>
      </c>
      <c r="J308" s="1">
        <v>45412</v>
      </c>
      <c r="K308" s="1">
        <v>45412</v>
      </c>
      <c r="L308" s="1">
        <v>45412</v>
      </c>
      <c r="M308" s="1">
        <v>45429</v>
      </c>
      <c r="N308" s="5">
        <v>159.99629024262819</v>
      </c>
      <c r="S308" s="6">
        <v>150.55869563121931</v>
      </c>
      <c r="T308" s="5">
        <f t="shared" si="41"/>
        <v>0</v>
      </c>
      <c r="U308" s="10">
        <f t="shared" si="42"/>
        <v>0</v>
      </c>
      <c r="V308" s="10">
        <f t="shared" si="43"/>
        <v>0</v>
      </c>
      <c r="W308" s="10">
        <f t="shared" si="44"/>
        <v>0</v>
      </c>
      <c r="X308" s="6">
        <f t="shared" si="45"/>
        <v>-5.8986333977476217</v>
      </c>
      <c r="Y308" s="5">
        <f t="shared" si="46"/>
        <v>0</v>
      </c>
      <c r="Z308" s="10">
        <f t="shared" si="47"/>
        <v>0</v>
      </c>
      <c r="AA308" s="10">
        <f t="shared" si="48"/>
        <v>0</v>
      </c>
      <c r="AB308" s="10">
        <f t="shared" si="49"/>
        <v>0</v>
      </c>
      <c r="AC308" s="6">
        <f t="shared" si="50"/>
        <v>-58.986333977476214</v>
      </c>
    </row>
    <row r="309" spans="1:29" x14ac:dyDescent="0.25">
      <c r="A309" t="s">
        <v>262</v>
      </c>
      <c r="B309" t="s">
        <v>96</v>
      </c>
      <c r="C309" s="1" t="s">
        <v>11</v>
      </c>
      <c r="D309">
        <v>0</v>
      </c>
      <c r="E309">
        <v>0</v>
      </c>
      <c r="F309">
        <v>0</v>
      </c>
      <c r="G309">
        <v>0</v>
      </c>
      <c r="H309">
        <v>0</v>
      </c>
      <c r="I309" s="1">
        <v>45412</v>
      </c>
      <c r="J309" s="1">
        <v>45412</v>
      </c>
      <c r="K309" s="1">
        <v>45412</v>
      </c>
      <c r="L309" s="1">
        <v>45412</v>
      </c>
      <c r="M309" s="1">
        <v>45412</v>
      </c>
      <c r="N309" s="5"/>
      <c r="S309" s="6"/>
      <c r="T309" s="5">
        <f t="shared" si="41"/>
        <v>0</v>
      </c>
      <c r="U309" s="10">
        <f t="shared" si="42"/>
        <v>0</v>
      </c>
      <c r="V309" s="10">
        <f t="shared" si="43"/>
        <v>0</v>
      </c>
      <c r="W309" s="10">
        <f t="shared" si="44"/>
        <v>0</v>
      </c>
      <c r="X309" s="6">
        <f t="shared" si="45"/>
        <v>0</v>
      </c>
      <c r="Y309" s="5">
        <f t="shared" si="46"/>
        <v>0</v>
      </c>
      <c r="Z309" s="10">
        <f t="shared" si="47"/>
        <v>0</v>
      </c>
      <c r="AA309" s="10">
        <f t="shared" si="48"/>
        <v>0</v>
      </c>
      <c r="AB309" s="10">
        <f t="shared" si="49"/>
        <v>0</v>
      </c>
      <c r="AC309" s="6">
        <f t="shared" si="50"/>
        <v>0</v>
      </c>
    </row>
    <row r="310" spans="1:29" x14ac:dyDescent="0.25">
      <c r="A310" t="s">
        <v>264</v>
      </c>
      <c r="B310" t="s">
        <v>218</v>
      </c>
      <c r="C310" s="1" t="s">
        <v>12</v>
      </c>
      <c r="D310">
        <v>0</v>
      </c>
      <c r="E310">
        <v>0</v>
      </c>
      <c r="F310">
        <v>0</v>
      </c>
      <c r="G310">
        <v>0</v>
      </c>
      <c r="H310">
        <v>0</v>
      </c>
      <c r="I310" s="1">
        <v>45408</v>
      </c>
      <c r="J310" s="1">
        <v>45408</v>
      </c>
      <c r="K310" s="1">
        <v>45408</v>
      </c>
      <c r="L310" s="1">
        <v>45408</v>
      </c>
      <c r="M310" s="1">
        <v>45408</v>
      </c>
      <c r="N310" s="5"/>
      <c r="S310" s="6"/>
      <c r="T310" s="5">
        <f t="shared" si="41"/>
        <v>0</v>
      </c>
      <c r="U310" s="10">
        <f t="shared" si="42"/>
        <v>0</v>
      </c>
      <c r="V310" s="10">
        <f t="shared" si="43"/>
        <v>0</v>
      </c>
      <c r="W310" s="10">
        <f t="shared" si="44"/>
        <v>0</v>
      </c>
      <c r="X310" s="6">
        <f t="shared" si="45"/>
        <v>0</v>
      </c>
      <c r="Y310" s="5">
        <f t="shared" si="46"/>
        <v>0</v>
      </c>
      <c r="Z310" s="10">
        <f t="shared" si="47"/>
        <v>0</v>
      </c>
      <c r="AA310" s="10">
        <f t="shared" si="48"/>
        <v>0</v>
      </c>
      <c r="AB310" s="10">
        <f t="shared" si="49"/>
        <v>0</v>
      </c>
      <c r="AC310" s="6">
        <f t="shared" si="50"/>
        <v>0</v>
      </c>
    </row>
    <row r="311" spans="1:29" x14ac:dyDescent="0.25">
      <c r="A311" t="s">
        <v>264</v>
      </c>
      <c r="B311" t="s">
        <v>265</v>
      </c>
      <c r="C311" s="1" t="s">
        <v>12</v>
      </c>
      <c r="D311">
        <v>0</v>
      </c>
      <c r="E311">
        <v>37</v>
      </c>
      <c r="F311">
        <v>0</v>
      </c>
      <c r="G311">
        <v>0</v>
      </c>
      <c r="H311">
        <v>0</v>
      </c>
      <c r="I311" s="1">
        <v>45408</v>
      </c>
      <c r="J311" s="1">
        <v>45445</v>
      </c>
      <c r="K311" s="1">
        <v>45408</v>
      </c>
      <c r="L311" s="1">
        <v>45408</v>
      </c>
      <c r="M311" s="1">
        <v>45408</v>
      </c>
      <c r="N311" s="5">
        <v>3449.4133950305431</v>
      </c>
      <c r="P311">
        <v>3709.557446148257</v>
      </c>
      <c r="S311" s="6"/>
      <c r="T311" s="5">
        <f t="shared" si="41"/>
        <v>0</v>
      </c>
      <c r="U311" s="10">
        <f t="shared" si="42"/>
        <v>7.5416895954684593</v>
      </c>
      <c r="V311" s="10">
        <f t="shared" si="43"/>
        <v>0</v>
      </c>
      <c r="W311" s="10">
        <f t="shared" si="44"/>
        <v>0</v>
      </c>
      <c r="X311" s="6">
        <f t="shared" si="45"/>
        <v>0</v>
      </c>
      <c r="Y311" s="5">
        <f t="shared" si="46"/>
        <v>0</v>
      </c>
      <c r="Z311" s="10">
        <f t="shared" si="47"/>
        <v>75.416895954684591</v>
      </c>
      <c r="AA311" s="10">
        <f t="shared" si="48"/>
        <v>0</v>
      </c>
      <c r="AB311" s="10">
        <f t="shared" si="49"/>
        <v>0</v>
      </c>
      <c r="AC311" s="6">
        <f t="shared" si="50"/>
        <v>0</v>
      </c>
    </row>
    <row r="312" spans="1:29" x14ac:dyDescent="0.25">
      <c r="A312" t="s">
        <v>264</v>
      </c>
      <c r="B312" t="s">
        <v>90</v>
      </c>
      <c r="C312" s="1" t="s">
        <v>12</v>
      </c>
      <c r="D312">
        <v>0</v>
      </c>
      <c r="E312">
        <v>0</v>
      </c>
      <c r="F312">
        <v>0</v>
      </c>
      <c r="G312">
        <v>0</v>
      </c>
      <c r="H312">
        <v>0</v>
      </c>
      <c r="I312" s="1">
        <v>45408</v>
      </c>
      <c r="J312" s="1">
        <v>45408</v>
      </c>
      <c r="K312" s="1">
        <v>45408</v>
      </c>
      <c r="L312" s="1">
        <v>45408</v>
      </c>
      <c r="M312" s="1">
        <v>45408</v>
      </c>
      <c r="N312" s="5"/>
      <c r="S312" s="6"/>
      <c r="T312" s="5">
        <f t="shared" si="41"/>
        <v>0</v>
      </c>
      <c r="U312" s="10">
        <f t="shared" si="42"/>
        <v>0</v>
      </c>
      <c r="V312" s="10">
        <f t="shared" si="43"/>
        <v>0</v>
      </c>
      <c r="W312" s="10">
        <f t="shared" si="44"/>
        <v>0</v>
      </c>
      <c r="X312" s="6">
        <f t="shared" si="45"/>
        <v>0</v>
      </c>
      <c r="Y312" s="5">
        <f t="shared" si="46"/>
        <v>0</v>
      </c>
      <c r="Z312" s="10">
        <f t="shared" si="47"/>
        <v>0</v>
      </c>
      <c r="AA312" s="10">
        <f t="shared" si="48"/>
        <v>0</v>
      </c>
      <c r="AB312" s="10">
        <f t="shared" si="49"/>
        <v>0</v>
      </c>
      <c r="AC312" s="6">
        <f t="shared" si="50"/>
        <v>0</v>
      </c>
    </row>
    <row r="313" spans="1:29" x14ac:dyDescent="0.25">
      <c r="A313" t="s">
        <v>264</v>
      </c>
      <c r="B313" t="s">
        <v>266</v>
      </c>
      <c r="C313" s="1" t="s">
        <v>12</v>
      </c>
      <c r="D313">
        <v>0</v>
      </c>
      <c r="E313">
        <v>37</v>
      </c>
      <c r="F313">
        <v>0</v>
      </c>
      <c r="G313">
        <v>0</v>
      </c>
      <c r="H313">
        <v>0</v>
      </c>
      <c r="I313" s="1">
        <v>45408</v>
      </c>
      <c r="J313" s="1">
        <v>45445</v>
      </c>
      <c r="K313" s="1">
        <v>45408</v>
      </c>
      <c r="L313" s="1">
        <v>45408</v>
      </c>
      <c r="M313" s="1">
        <v>45408</v>
      </c>
      <c r="N313" s="5">
        <v>33.018316653762533</v>
      </c>
      <c r="P313">
        <v>32.83236261982367</v>
      </c>
      <c r="S313" s="6"/>
      <c r="T313" s="5">
        <f t="shared" si="41"/>
        <v>0</v>
      </c>
      <c r="U313" s="10">
        <f t="shared" si="42"/>
        <v>-0.56318447693387563</v>
      </c>
      <c r="V313" s="10">
        <f t="shared" si="43"/>
        <v>0</v>
      </c>
      <c r="W313" s="10">
        <f t="shared" si="44"/>
        <v>0</v>
      </c>
      <c r="X313" s="6">
        <f t="shared" si="45"/>
        <v>0</v>
      </c>
      <c r="Y313" s="5">
        <f t="shared" si="46"/>
        <v>0</v>
      </c>
      <c r="Z313" s="10">
        <f t="shared" si="47"/>
        <v>-5.6318447693387563</v>
      </c>
      <c r="AA313" s="10">
        <f t="shared" si="48"/>
        <v>0</v>
      </c>
      <c r="AB313" s="10">
        <f t="shared" si="49"/>
        <v>0</v>
      </c>
      <c r="AC313" s="6">
        <f t="shared" si="50"/>
        <v>0</v>
      </c>
    </row>
    <row r="314" spans="1:29" x14ac:dyDescent="0.25">
      <c r="A314" t="s">
        <v>264</v>
      </c>
      <c r="B314" t="s">
        <v>267</v>
      </c>
      <c r="C314" s="1" t="s">
        <v>12</v>
      </c>
      <c r="D314">
        <v>0</v>
      </c>
      <c r="E314">
        <v>0</v>
      </c>
      <c r="F314">
        <v>0</v>
      </c>
      <c r="G314">
        <v>0</v>
      </c>
      <c r="H314">
        <v>0</v>
      </c>
      <c r="I314" s="1">
        <v>45408</v>
      </c>
      <c r="J314" s="1">
        <v>45408</v>
      </c>
      <c r="K314" s="1">
        <v>45408</v>
      </c>
      <c r="L314" s="1">
        <v>45408</v>
      </c>
      <c r="M314" s="1">
        <v>45408</v>
      </c>
      <c r="N314" s="5"/>
      <c r="S314" s="6"/>
      <c r="T314" s="5">
        <f t="shared" si="41"/>
        <v>0</v>
      </c>
      <c r="U314" s="10">
        <f t="shared" si="42"/>
        <v>0</v>
      </c>
      <c r="V314" s="10">
        <f t="shared" si="43"/>
        <v>0</v>
      </c>
      <c r="W314" s="10">
        <f t="shared" si="44"/>
        <v>0</v>
      </c>
      <c r="X314" s="6">
        <f t="shared" si="45"/>
        <v>0</v>
      </c>
      <c r="Y314" s="5">
        <f t="shared" si="46"/>
        <v>0</v>
      </c>
      <c r="Z314" s="10">
        <f t="shared" si="47"/>
        <v>0</v>
      </c>
      <c r="AA314" s="10">
        <f t="shared" si="48"/>
        <v>0</v>
      </c>
      <c r="AB314" s="10">
        <f t="shared" si="49"/>
        <v>0</v>
      </c>
      <c r="AC314" s="6">
        <f t="shared" si="50"/>
        <v>0</v>
      </c>
    </row>
    <row r="315" spans="1:29" x14ac:dyDescent="0.25">
      <c r="A315" t="s">
        <v>264</v>
      </c>
      <c r="B315" t="s">
        <v>174</v>
      </c>
      <c r="C315" s="1" t="s">
        <v>12</v>
      </c>
      <c r="D315">
        <v>0</v>
      </c>
      <c r="E315">
        <v>0</v>
      </c>
      <c r="F315">
        <v>0</v>
      </c>
      <c r="G315">
        <v>0</v>
      </c>
      <c r="H315">
        <v>0</v>
      </c>
      <c r="I315" s="1">
        <v>45408</v>
      </c>
      <c r="J315" s="1">
        <v>45408</v>
      </c>
      <c r="K315" s="1">
        <v>45408</v>
      </c>
      <c r="L315" s="1">
        <v>45408</v>
      </c>
      <c r="M315" s="1">
        <v>45408</v>
      </c>
      <c r="N315" s="5"/>
      <c r="S315" s="6"/>
      <c r="T315" s="5">
        <f t="shared" si="41"/>
        <v>0</v>
      </c>
      <c r="U315" s="10">
        <f t="shared" si="42"/>
        <v>0</v>
      </c>
      <c r="V315" s="10">
        <f t="shared" si="43"/>
        <v>0</v>
      </c>
      <c r="W315" s="10">
        <f t="shared" si="44"/>
        <v>0</v>
      </c>
      <c r="X315" s="6">
        <f t="shared" si="45"/>
        <v>0</v>
      </c>
      <c r="Y315" s="5">
        <f t="shared" si="46"/>
        <v>0</v>
      </c>
      <c r="Z315" s="10">
        <f t="shared" si="47"/>
        <v>0</v>
      </c>
      <c r="AA315" s="10">
        <f t="shared" si="48"/>
        <v>0</v>
      </c>
      <c r="AB315" s="10">
        <f t="shared" si="49"/>
        <v>0</v>
      </c>
      <c r="AC315" s="6">
        <f t="shared" si="50"/>
        <v>0</v>
      </c>
    </row>
    <row r="316" spans="1:29" x14ac:dyDescent="0.25">
      <c r="A316" t="s">
        <v>264</v>
      </c>
      <c r="B316" t="s">
        <v>121</v>
      </c>
      <c r="C316" s="1" t="s">
        <v>12</v>
      </c>
      <c r="D316">
        <v>0</v>
      </c>
      <c r="E316">
        <v>37</v>
      </c>
      <c r="F316">
        <v>0</v>
      </c>
      <c r="G316">
        <v>0</v>
      </c>
      <c r="H316">
        <v>0</v>
      </c>
      <c r="I316" s="1">
        <v>45408</v>
      </c>
      <c r="J316" s="1">
        <v>45445</v>
      </c>
      <c r="K316" s="1">
        <v>45408</v>
      </c>
      <c r="L316" s="1">
        <v>45408</v>
      </c>
      <c r="M316" s="1">
        <v>45408</v>
      </c>
      <c r="N316" s="5">
        <v>717.33934270560724</v>
      </c>
      <c r="P316">
        <v>813.23410140383419</v>
      </c>
      <c r="S316" s="6"/>
      <c r="T316" s="5">
        <f t="shared" si="41"/>
        <v>0</v>
      </c>
      <c r="U316" s="10">
        <f t="shared" si="42"/>
        <v>13.368116453300649</v>
      </c>
      <c r="V316" s="10">
        <f t="shared" si="43"/>
        <v>0</v>
      </c>
      <c r="W316" s="10">
        <f t="shared" si="44"/>
        <v>0</v>
      </c>
      <c r="X316" s="6">
        <f t="shared" si="45"/>
        <v>0</v>
      </c>
      <c r="Y316" s="5">
        <f t="shared" si="46"/>
        <v>0</v>
      </c>
      <c r="Z316" s="10">
        <f t="shared" si="47"/>
        <v>133.68116453300649</v>
      </c>
      <c r="AA316" s="10">
        <f t="shared" si="48"/>
        <v>0</v>
      </c>
      <c r="AB316" s="10">
        <f t="shared" si="49"/>
        <v>0</v>
      </c>
      <c r="AC316" s="6">
        <f t="shared" si="50"/>
        <v>0</v>
      </c>
    </row>
    <row r="317" spans="1:29" x14ac:dyDescent="0.25">
      <c r="A317" t="s">
        <v>264</v>
      </c>
      <c r="B317" t="s">
        <v>268</v>
      </c>
      <c r="C317" s="1" t="s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 s="1">
        <v>45408</v>
      </c>
      <c r="J317" s="1">
        <v>45408</v>
      </c>
      <c r="K317" s="1">
        <v>45408</v>
      </c>
      <c r="L317" s="1">
        <v>45408</v>
      </c>
      <c r="M317" s="1">
        <v>45408</v>
      </c>
      <c r="N317" s="5"/>
      <c r="S317" s="6"/>
      <c r="T317" s="5">
        <f t="shared" si="41"/>
        <v>0</v>
      </c>
      <c r="U317" s="10">
        <f t="shared" si="42"/>
        <v>0</v>
      </c>
      <c r="V317" s="10">
        <f t="shared" si="43"/>
        <v>0</v>
      </c>
      <c r="W317" s="10">
        <f t="shared" si="44"/>
        <v>0</v>
      </c>
      <c r="X317" s="6">
        <f t="shared" si="45"/>
        <v>0</v>
      </c>
      <c r="Y317" s="5">
        <f t="shared" si="46"/>
        <v>0</v>
      </c>
      <c r="Z317" s="10">
        <f t="shared" si="47"/>
        <v>0</v>
      </c>
      <c r="AA317" s="10">
        <f t="shared" si="48"/>
        <v>0</v>
      </c>
      <c r="AB317" s="10">
        <f t="shared" si="49"/>
        <v>0</v>
      </c>
      <c r="AC317" s="6">
        <f t="shared" si="50"/>
        <v>0</v>
      </c>
    </row>
    <row r="318" spans="1:29" x14ac:dyDescent="0.25">
      <c r="A318" t="s">
        <v>264</v>
      </c>
      <c r="B318" t="s">
        <v>23</v>
      </c>
      <c r="C318" s="1" t="s">
        <v>12</v>
      </c>
      <c r="D318">
        <v>0</v>
      </c>
      <c r="E318">
        <v>0</v>
      </c>
      <c r="F318">
        <v>0</v>
      </c>
      <c r="G318">
        <v>0</v>
      </c>
      <c r="H318">
        <v>0</v>
      </c>
      <c r="I318" s="1">
        <v>45408</v>
      </c>
      <c r="J318" s="1">
        <v>45408</v>
      </c>
      <c r="K318" s="1">
        <v>45408</v>
      </c>
      <c r="L318" s="1">
        <v>45408</v>
      </c>
      <c r="M318" s="1">
        <v>45408</v>
      </c>
      <c r="N318" s="5"/>
      <c r="S318" s="6"/>
      <c r="T318" s="5">
        <f t="shared" si="41"/>
        <v>0</v>
      </c>
      <c r="U318" s="10">
        <f t="shared" si="42"/>
        <v>0</v>
      </c>
      <c r="V318" s="10">
        <f t="shared" si="43"/>
        <v>0</v>
      </c>
      <c r="W318" s="10">
        <f t="shared" si="44"/>
        <v>0</v>
      </c>
      <c r="X318" s="6">
        <f t="shared" si="45"/>
        <v>0</v>
      </c>
      <c r="Y318" s="5">
        <f t="shared" si="46"/>
        <v>0</v>
      </c>
      <c r="Z318" s="10">
        <f t="shared" si="47"/>
        <v>0</v>
      </c>
      <c r="AA318" s="10">
        <f t="shared" si="48"/>
        <v>0</v>
      </c>
      <c r="AB318" s="10">
        <f t="shared" si="49"/>
        <v>0</v>
      </c>
      <c r="AC318" s="6">
        <f t="shared" si="50"/>
        <v>0</v>
      </c>
    </row>
    <row r="319" spans="1:29" x14ac:dyDescent="0.25">
      <c r="A319" t="s">
        <v>264</v>
      </c>
      <c r="B319" t="s">
        <v>133</v>
      </c>
      <c r="C319" s="1" t="s">
        <v>12</v>
      </c>
      <c r="D319">
        <v>0</v>
      </c>
      <c r="E319">
        <v>0</v>
      </c>
      <c r="F319">
        <v>0</v>
      </c>
      <c r="G319">
        <v>0</v>
      </c>
      <c r="H319">
        <v>0</v>
      </c>
      <c r="I319" s="1">
        <v>45408</v>
      </c>
      <c r="J319" s="1">
        <v>45408</v>
      </c>
      <c r="K319" s="1">
        <v>45408</v>
      </c>
      <c r="L319" s="1">
        <v>45408</v>
      </c>
      <c r="M319" s="1">
        <v>45408</v>
      </c>
      <c r="N319" s="5"/>
      <c r="S319" s="6"/>
      <c r="T319" s="5">
        <f t="shared" si="41"/>
        <v>0</v>
      </c>
      <c r="U319" s="10">
        <f t="shared" si="42"/>
        <v>0</v>
      </c>
      <c r="V319" s="10">
        <f t="shared" si="43"/>
        <v>0</v>
      </c>
      <c r="W319" s="10">
        <f t="shared" si="44"/>
        <v>0</v>
      </c>
      <c r="X319" s="6">
        <f t="shared" si="45"/>
        <v>0</v>
      </c>
      <c r="Y319" s="5">
        <f t="shared" si="46"/>
        <v>0</v>
      </c>
      <c r="Z319" s="10">
        <f t="shared" si="47"/>
        <v>0</v>
      </c>
      <c r="AA319" s="10">
        <f t="shared" si="48"/>
        <v>0</v>
      </c>
      <c r="AB319" s="10">
        <f t="shared" si="49"/>
        <v>0</v>
      </c>
      <c r="AC319" s="6">
        <f t="shared" si="50"/>
        <v>0</v>
      </c>
    </row>
    <row r="320" spans="1:29" x14ac:dyDescent="0.25">
      <c r="A320" t="s">
        <v>264</v>
      </c>
      <c r="B320" t="s">
        <v>269</v>
      </c>
      <c r="C320" s="1" t="s">
        <v>12</v>
      </c>
      <c r="D320">
        <v>0</v>
      </c>
      <c r="E320">
        <v>37</v>
      </c>
      <c r="F320">
        <v>0</v>
      </c>
      <c r="G320">
        <v>0</v>
      </c>
      <c r="H320">
        <v>0</v>
      </c>
      <c r="I320" s="1">
        <v>45408</v>
      </c>
      <c r="J320" s="1">
        <v>45445</v>
      </c>
      <c r="K320" s="1">
        <v>45408</v>
      </c>
      <c r="L320" s="1">
        <v>45408</v>
      </c>
      <c r="M320" s="1">
        <v>45408</v>
      </c>
      <c r="N320" s="5">
        <v>26.99329603612955</v>
      </c>
      <c r="P320">
        <v>27.251766633236041</v>
      </c>
      <c r="S320" s="6"/>
      <c r="T320" s="5">
        <f t="shared" si="41"/>
        <v>0</v>
      </c>
      <c r="U320" s="10">
        <f t="shared" si="42"/>
        <v>0.95753625922725405</v>
      </c>
      <c r="V320" s="10">
        <f t="shared" si="43"/>
        <v>0</v>
      </c>
      <c r="W320" s="10">
        <f t="shared" si="44"/>
        <v>0</v>
      </c>
      <c r="X320" s="6">
        <f t="shared" si="45"/>
        <v>0</v>
      </c>
      <c r="Y320" s="5">
        <f t="shared" si="46"/>
        <v>0</v>
      </c>
      <c r="Z320" s="10">
        <f t="shared" si="47"/>
        <v>9.5753625922725405</v>
      </c>
      <c r="AA320" s="10">
        <f t="shared" si="48"/>
        <v>0</v>
      </c>
      <c r="AB320" s="10">
        <f t="shared" si="49"/>
        <v>0</v>
      </c>
      <c r="AC320" s="6">
        <f t="shared" si="50"/>
        <v>0</v>
      </c>
    </row>
    <row r="321" spans="1:29" x14ac:dyDescent="0.25">
      <c r="A321" t="s">
        <v>264</v>
      </c>
      <c r="B321" t="s">
        <v>67</v>
      </c>
      <c r="C321" s="1" t="s">
        <v>12</v>
      </c>
      <c r="D321">
        <v>0</v>
      </c>
      <c r="E321">
        <v>34</v>
      </c>
      <c r="F321">
        <v>0</v>
      </c>
      <c r="G321">
        <v>0</v>
      </c>
      <c r="H321">
        <v>0</v>
      </c>
      <c r="I321" s="1">
        <v>45408</v>
      </c>
      <c r="J321" s="1">
        <v>45442</v>
      </c>
      <c r="K321" s="1">
        <v>45408</v>
      </c>
      <c r="L321" s="1">
        <v>45408</v>
      </c>
      <c r="M321" s="1">
        <v>45408</v>
      </c>
      <c r="N321" s="5">
        <v>83.79046380504667</v>
      </c>
      <c r="P321">
        <v>113.0128664062857</v>
      </c>
      <c r="S321" s="6"/>
      <c r="T321" s="5">
        <f t="shared" si="41"/>
        <v>0</v>
      </c>
      <c r="U321" s="10">
        <f t="shared" si="42"/>
        <v>34.875570887434293</v>
      </c>
      <c r="V321" s="10">
        <f t="shared" si="43"/>
        <v>0</v>
      </c>
      <c r="W321" s="10">
        <f t="shared" si="44"/>
        <v>0</v>
      </c>
      <c r="X321" s="6">
        <f t="shared" si="45"/>
        <v>0</v>
      </c>
      <c r="Y321" s="5">
        <f t="shared" si="46"/>
        <v>0</v>
      </c>
      <c r="Z321" s="10">
        <f t="shared" si="47"/>
        <v>348.75570887434299</v>
      </c>
      <c r="AA321" s="10">
        <f t="shared" si="48"/>
        <v>0</v>
      </c>
      <c r="AB321" s="10">
        <f t="shared" si="49"/>
        <v>0</v>
      </c>
      <c r="AC321" s="6">
        <f t="shared" si="50"/>
        <v>0</v>
      </c>
    </row>
    <row r="322" spans="1:29" x14ac:dyDescent="0.25">
      <c r="A322" t="s">
        <v>264</v>
      </c>
      <c r="B322" t="s">
        <v>270</v>
      </c>
      <c r="C322" s="1" t="s">
        <v>12</v>
      </c>
      <c r="D322">
        <v>0</v>
      </c>
      <c r="E322">
        <v>0</v>
      </c>
      <c r="F322">
        <v>0</v>
      </c>
      <c r="G322">
        <v>0</v>
      </c>
      <c r="H322">
        <v>0</v>
      </c>
      <c r="I322" s="1">
        <v>45408</v>
      </c>
      <c r="J322" s="1">
        <v>45408</v>
      </c>
      <c r="K322" s="1">
        <v>45408</v>
      </c>
      <c r="L322" s="1">
        <v>45408</v>
      </c>
      <c r="M322" s="1">
        <v>45408</v>
      </c>
      <c r="N322" s="5"/>
      <c r="S322" s="6"/>
      <c r="T322" s="5">
        <f t="shared" ref="T322:T385" si="51">IF((ISBLANK(O322)),0,((O322/$N322)-1)*100)</f>
        <v>0</v>
      </c>
      <c r="U322" s="10">
        <f t="shared" ref="U322:U385" si="52">IF((ISBLANK(P322)),0,((P322/$N322)-1)*100)</f>
        <v>0</v>
      </c>
      <c r="V322" s="10">
        <f t="shared" ref="V322:V385" si="53">IF((ISBLANK(Q322)),0,((Q322/$N322)-1)*100)</f>
        <v>0</v>
      </c>
      <c r="W322" s="10">
        <f t="shared" ref="W322:W385" si="54">IF((ISBLANK(R322)),0,((R322/$N322)-1)*100)</f>
        <v>0</v>
      </c>
      <c r="X322" s="6">
        <f t="shared" ref="X322:X385" si="55">IF((ISBLANK(S322)),0,((S322/$N322)-1)*100)</f>
        <v>0</v>
      </c>
      <c r="Y322" s="5">
        <f t="shared" si="46"/>
        <v>0</v>
      </c>
      <c r="Z322" s="10">
        <f t="shared" si="47"/>
        <v>0</v>
      </c>
      <c r="AA322" s="10">
        <f t="shared" si="48"/>
        <v>0</v>
      </c>
      <c r="AB322" s="10">
        <f t="shared" si="49"/>
        <v>0</v>
      </c>
      <c r="AC322" s="6">
        <f t="shared" si="50"/>
        <v>0</v>
      </c>
    </row>
    <row r="323" spans="1:29" x14ac:dyDescent="0.25">
      <c r="A323" t="s">
        <v>264</v>
      </c>
      <c r="B323" t="s">
        <v>132</v>
      </c>
      <c r="C323" s="1" t="s">
        <v>12</v>
      </c>
      <c r="D323">
        <v>0</v>
      </c>
      <c r="E323">
        <v>0</v>
      </c>
      <c r="F323">
        <v>0</v>
      </c>
      <c r="G323">
        <v>0</v>
      </c>
      <c r="H323">
        <v>0</v>
      </c>
      <c r="I323" s="1">
        <v>45408</v>
      </c>
      <c r="J323" s="1">
        <v>45408</v>
      </c>
      <c r="K323" s="1">
        <v>45408</v>
      </c>
      <c r="L323" s="1">
        <v>45408</v>
      </c>
      <c r="M323" s="1">
        <v>45408</v>
      </c>
      <c r="N323" s="5"/>
      <c r="S323" s="6"/>
      <c r="T323" s="5">
        <f t="shared" si="51"/>
        <v>0</v>
      </c>
      <c r="U323" s="10">
        <f t="shared" si="52"/>
        <v>0</v>
      </c>
      <c r="V323" s="10">
        <f t="shared" si="53"/>
        <v>0</v>
      </c>
      <c r="W323" s="10">
        <f t="shared" si="54"/>
        <v>0</v>
      </c>
      <c r="X323" s="6">
        <f t="shared" si="55"/>
        <v>0</v>
      </c>
      <c r="Y323" s="5">
        <f t="shared" ref="Y323:Y386" si="56">1000 * T323/100</f>
        <v>0</v>
      </c>
      <c r="Z323" s="10">
        <f t="shared" ref="Z323:Z386" si="57">1000 * U323/100</f>
        <v>0</v>
      </c>
      <c r="AA323" s="10">
        <f t="shared" ref="AA323:AA386" si="58">1000 * V323/100</f>
        <v>0</v>
      </c>
      <c r="AB323" s="10">
        <f t="shared" ref="AB323:AB386" si="59">1000 * W323/100</f>
        <v>0</v>
      </c>
      <c r="AC323" s="6">
        <f t="shared" ref="AC323:AC386" si="60">1000 * X323/100</f>
        <v>0</v>
      </c>
    </row>
    <row r="324" spans="1:29" x14ac:dyDescent="0.25">
      <c r="A324" t="s">
        <v>264</v>
      </c>
      <c r="B324" t="s">
        <v>193</v>
      </c>
      <c r="C324" s="1" t="s">
        <v>12</v>
      </c>
      <c r="D324">
        <v>0</v>
      </c>
      <c r="E324">
        <v>0</v>
      </c>
      <c r="F324">
        <v>0</v>
      </c>
      <c r="G324">
        <v>0</v>
      </c>
      <c r="H324">
        <v>0</v>
      </c>
      <c r="I324" s="1">
        <v>45408</v>
      </c>
      <c r="J324" s="1">
        <v>45408</v>
      </c>
      <c r="K324" s="1">
        <v>45408</v>
      </c>
      <c r="L324" s="1">
        <v>45408</v>
      </c>
      <c r="M324" s="1">
        <v>45408</v>
      </c>
      <c r="N324" s="5"/>
      <c r="S324" s="6"/>
      <c r="T324" s="5">
        <f t="shared" si="51"/>
        <v>0</v>
      </c>
      <c r="U324" s="10">
        <f t="shared" si="52"/>
        <v>0</v>
      </c>
      <c r="V324" s="10">
        <f t="shared" si="53"/>
        <v>0</v>
      </c>
      <c r="W324" s="10">
        <f t="shared" si="54"/>
        <v>0</v>
      </c>
      <c r="X324" s="6">
        <f t="shared" si="55"/>
        <v>0</v>
      </c>
      <c r="Y324" s="5">
        <f t="shared" si="56"/>
        <v>0</v>
      </c>
      <c r="Z324" s="10">
        <f t="shared" si="57"/>
        <v>0</v>
      </c>
      <c r="AA324" s="10">
        <f t="shared" si="58"/>
        <v>0</v>
      </c>
      <c r="AB324" s="10">
        <f t="shared" si="59"/>
        <v>0</v>
      </c>
      <c r="AC324" s="6">
        <f t="shared" si="60"/>
        <v>0</v>
      </c>
    </row>
    <row r="325" spans="1:29" x14ac:dyDescent="0.25">
      <c r="A325" t="s">
        <v>264</v>
      </c>
      <c r="B325" t="s">
        <v>244</v>
      </c>
      <c r="C325" s="1" t="s">
        <v>12</v>
      </c>
      <c r="D325">
        <v>0</v>
      </c>
      <c r="E325">
        <v>0</v>
      </c>
      <c r="F325">
        <v>0</v>
      </c>
      <c r="G325">
        <v>0</v>
      </c>
      <c r="H325">
        <v>0</v>
      </c>
      <c r="I325" s="1">
        <v>45408</v>
      </c>
      <c r="J325" s="1">
        <v>45408</v>
      </c>
      <c r="K325" s="1">
        <v>45408</v>
      </c>
      <c r="L325" s="1">
        <v>45408</v>
      </c>
      <c r="M325" s="1">
        <v>45408</v>
      </c>
      <c r="N325" s="5"/>
      <c r="S325" s="6"/>
      <c r="T325" s="5">
        <f t="shared" si="51"/>
        <v>0</v>
      </c>
      <c r="U325" s="10">
        <f t="shared" si="52"/>
        <v>0</v>
      </c>
      <c r="V325" s="10">
        <f t="shared" si="53"/>
        <v>0</v>
      </c>
      <c r="W325" s="10">
        <f t="shared" si="54"/>
        <v>0</v>
      </c>
      <c r="X325" s="6">
        <f t="shared" si="55"/>
        <v>0</v>
      </c>
      <c r="Y325" s="5">
        <f t="shared" si="56"/>
        <v>0</v>
      </c>
      <c r="Z325" s="10">
        <f t="shared" si="57"/>
        <v>0</v>
      </c>
      <c r="AA325" s="10">
        <f t="shared" si="58"/>
        <v>0</v>
      </c>
      <c r="AB325" s="10">
        <f t="shared" si="59"/>
        <v>0</v>
      </c>
      <c r="AC325" s="6">
        <f t="shared" si="60"/>
        <v>0</v>
      </c>
    </row>
    <row r="326" spans="1:29" x14ac:dyDescent="0.25">
      <c r="A326" t="s">
        <v>264</v>
      </c>
      <c r="B326" t="s">
        <v>271</v>
      </c>
      <c r="C326" s="1" t="s">
        <v>12</v>
      </c>
      <c r="D326">
        <v>0</v>
      </c>
      <c r="E326">
        <v>0</v>
      </c>
      <c r="F326">
        <v>0</v>
      </c>
      <c r="G326">
        <v>0</v>
      </c>
      <c r="H326">
        <v>0</v>
      </c>
      <c r="I326" s="1">
        <v>45408</v>
      </c>
      <c r="J326" s="1">
        <v>45408</v>
      </c>
      <c r="K326" s="1">
        <v>45408</v>
      </c>
      <c r="L326" s="1">
        <v>45408</v>
      </c>
      <c r="M326" s="1">
        <v>45408</v>
      </c>
      <c r="N326" s="5"/>
      <c r="S326" s="6"/>
      <c r="T326" s="5">
        <f t="shared" si="51"/>
        <v>0</v>
      </c>
      <c r="U326" s="10">
        <f t="shared" si="52"/>
        <v>0</v>
      </c>
      <c r="V326" s="10">
        <f t="shared" si="53"/>
        <v>0</v>
      </c>
      <c r="W326" s="10">
        <f t="shared" si="54"/>
        <v>0</v>
      </c>
      <c r="X326" s="6">
        <f t="shared" si="55"/>
        <v>0</v>
      </c>
      <c r="Y326" s="5">
        <f t="shared" si="56"/>
        <v>0</v>
      </c>
      <c r="Z326" s="10">
        <f t="shared" si="57"/>
        <v>0</v>
      </c>
      <c r="AA326" s="10">
        <f t="shared" si="58"/>
        <v>0</v>
      </c>
      <c r="AB326" s="10">
        <f t="shared" si="59"/>
        <v>0</v>
      </c>
      <c r="AC326" s="6">
        <f t="shared" si="60"/>
        <v>0</v>
      </c>
    </row>
    <row r="327" spans="1:29" x14ac:dyDescent="0.25">
      <c r="A327" t="s">
        <v>264</v>
      </c>
      <c r="B327" t="s">
        <v>195</v>
      </c>
      <c r="C327" s="1" t="s">
        <v>12</v>
      </c>
      <c r="D327">
        <v>0</v>
      </c>
      <c r="E327">
        <v>37</v>
      </c>
      <c r="F327">
        <v>0</v>
      </c>
      <c r="G327">
        <v>0</v>
      </c>
      <c r="H327">
        <v>0</v>
      </c>
      <c r="I327" s="1">
        <v>45408</v>
      </c>
      <c r="J327" s="1">
        <v>45445</v>
      </c>
      <c r="K327" s="1">
        <v>45408</v>
      </c>
      <c r="L327" s="1">
        <v>45408</v>
      </c>
      <c r="M327" s="1">
        <v>45408</v>
      </c>
      <c r="N327" s="5">
        <v>723.760009765625</v>
      </c>
      <c r="P327">
        <v>651.78997802734375</v>
      </c>
      <c r="S327" s="6"/>
      <c r="T327" s="5">
        <f t="shared" si="51"/>
        <v>0</v>
      </c>
      <c r="U327" s="10">
        <f t="shared" si="52"/>
        <v>-9.9439083076152901</v>
      </c>
      <c r="V327" s="10">
        <f t="shared" si="53"/>
        <v>0</v>
      </c>
      <c r="W327" s="10">
        <f t="shared" si="54"/>
        <v>0</v>
      </c>
      <c r="X327" s="6">
        <f t="shared" si="55"/>
        <v>0</v>
      </c>
      <c r="Y327" s="5">
        <f t="shared" si="56"/>
        <v>0</v>
      </c>
      <c r="Z327" s="10">
        <f t="shared" si="57"/>
        <v>-99.439083076152897</v>
      </c>
      <c r="AA327" s="10">
        <f t="shared" si="58"/>
        <v>0</v>
      </c>
      <c r="AB327" s="10">
        <f t="shared" si="59"/>
        <v>0</v>
      </c>
      <c r="AC327" s="6">
        <f t="shared" si="60"/>
        <v>0</v>
      </c>
    </row>
    <row r="328" spans="1:29" x14ac:dyDescent="0.25">
      <c r="A328" t="s">
        <v>264</v>
      </c>
      <c r="B328" t="s">
        <v>173</v>
      </c>
      <c r="C328" s="1" t="s">
        <v>12</v>
      </c>
      <c r="D328">
        <v>0</v>
      </c>
      <c r="E328">
        <v>0</v>
      </c>
      <c r="F328">
        <v>0</v>
      </c>
      <c r="G328">
        <v>0</v>
      </c>
      <c r="H328">
        <v>0</v>
      </c>
      <c r="I328" s="1">
        <v>45408</v>
      </c>
      <c r="J328" s="1">
        <v>45408</v>
      </c>
      <c r="K328" s="1">
        <v>45408</v>
      </c>
      <c r="L328" s="1">
        <v>45408</v>
      </c>
      <c r="M328" s="1">
        <v>45408</v>
      </c>
      <c r="N328" s="5"/>
      <c r="S328" s="6"/>
      <c r="T328" s="5">
        <f t="shared" si="51"/>
        <v>0</v>
      </c>
      <c r="U328" s="10">
        <f t="shared" si="52"/>
        <v>0</v>
      </c>
      <c r="V328" s="10">
        <f t="shared" si="53"/>
        <v>0</v>
      </c>
      <c r="W328" s="10">
        <f t="shared" si="54"/>
        <v>0</v>
      </c>
      <c r="X328" s="6">
        <f t="shared" si="55"/>
        <v>0</v>
      </c>
      <c r="Y328" s="5">
        <f t="shared" si="56"/>
        <v>0</v>
      </c>
      <c r="Z328" s="10">
        <f t="shared" si="57"/>
        <v>0</v>
      </c>
      <c r="AA328" s="10">
        <f t="shared" si="58"/>
        <v>0</v>
      </c>
      <c r="AB328" s="10">
        <f t="shared" si="59"/>
        <v>0</v>
      </c>
      <c r="AC328" s="6">
        <f t="shared" si="60"/>
        <v>0</v>
      </c>
    </row>
    <row r="329" spans="1:29" x14ac:dyDescent="0.25">
      <c r="A329" t="s">
        <v>264</v>
      </c>
      <c r="B329" t="s">
        <v>182</v>
      </c>
      <c r="C329" s="1" t="s">
        <v>12</v>
      </c>
      <c r="D329">
        <v>0</v>
      </c>
      <c r="E329">
        <v>0</v>
      </c>
      <c r="F329">
        <v>0</v>
      </c>
      <c r="G329">
        <v>38</v>
      </c>
      <c r="H329">
        <v>0</v>
      </c>
      <c r="I329" s="1">
        <v>45408</v>
      </c>
      <c r="J329" s="1">
        <v>45408</v>
      </c>
      <c r="K329" s="1">
        <v>45408</v>
      </c>
      <c r="L329" s="1">
        <v>45446</v>
      </c>
      <c r="M329" s="1">
        <v>45408</v>
      </c>
      <c r="N329" s="5">
        <v>12.392432533327961</v>
      </c>
      <c r="R329">
        <v>12.742611136422889</v>
      </c>
      <c r="S329" s="6"/>
      <c r="T329" s="5">
        <f t="shared" si="51"/>
        <v>0</v>
      </c>
      <c r="U329" s="10">
        <f t="shared" si="52"/>
        <v>0</v>
      </c>
      <c r="V329" s="10">
        <f t="shared" si="53"/>
        <v>0</v>
      </c>
      <c r="W329" s="10">
        <f t="shared" si="54"/>
        <v>2.8257454874429655</v>
      </c>
      <c r="X329" s="6">
        <f t="shared" si="55"/>
        <v>0</v>
      </c>
      <c r="Y329" s="5">
        <f t="shared" si="56"/>
        <v>0</v>
      </c>
      <c r="Z329" s="10">
        <f t="shared" si="57"/>
        <v>0</v>
      </c>
      <c r="AA329" s="10">
        <f t="shared" si="58"/>
        <v>0</v>
      </c>
      <c r="AB329" s="10">
        <f t="shared" si="59"/>
        <v>28.257454874429655</v>
      </c>
      <c r="AC329" s="6">
        <f t="shared" si="60"/>
        <v>0</v>
      </c>
    </row>
    <row r="330" spans="1:29" x14ac:dyDescent="0.25">
      <c r="A330" t="s">
        <v>264</v>
      </c>
      <c r="B330" t="s">
        <v>272</v>
      </c>
      <c r="C330" s="1" t="s">
        <v>12</v>
      </c>
      <c r="D330">
        <v>0</v>
      </c>
      <c r="E330">
        <v>0</v>
      </c>
      <c r="F330">
        <v>0</v>
      </c>
      <c r="G330">
        <v>0</v>
      </c>
      <c r="H330">
        <v>0</v>
      </c>
      <c r="I330" s="1">
        <v>45408</v>
      </c>
      <c r="J330" s="1">
        <v>45408</v>
      </c>
      <c r="K330" s="1">
        <v>45408</v>
      </c>
      <c r="L330" s="1">
        <v>45408</v>
      </c>
      <c r="M330" s="1">
        <v>45408</v>
      </c>
      <c r="N330" s="5"/>
      <c r="S330" s="6"/>
      <c r="T330" s="5">
        <f t="shared" si="51"/>
        <v>0</v>
      </c>
      <c r="U330" s="10">
        <f t="shared" si="52"/>
        <v>0</v>
      </c>
      <c r="V330" s="10">
        <f t="shared" si="53"/>
        <v>0</v>
      </c>
      <c r="W330" s="10">
        <f t="shared" si="54"/>
        <v>0</v>
      </c>
      <c r="X330" s="6">
        <f t="shared" si="55"/>
        <v>0</v>
      </c>
      <c r="Y330" s="5">
        <f t="shared" si="56"/>
        <v>0</v>
      </c>
      <c r="Z330" s="10">
        <f t="shared" si="57"/>
        <v>0</v>
      </c>
      <c r="AA330" s="10">
        <f t="shared" si="58"/>
        <v>0</v>
      </c>
      <c r="AB330" s="10">
        <f t="shared" si="59"/>
        <v>0</v>
      </c>
      <c r="AC330" s="6">
        <f t="shared" si="60"/>
        <v>0</v>
      </c>
    </row>
    <row r="331" spans="1:29" x14ac:dyDescent="0.25">
      <c r="A331" t="s">
        <v>235</v>
      </c>
      <c r="B331" t="s">
        <v>144</v>
      </c>
      <c r="C331" s="1" t="s">
        <v>13</v>
      </c>
      <c r="D331">
        <v>0</v>
      </c>
      <c r="E331">
        <v>0</v>
      </c>
      <c r="F331">
        <v>0</v>
      </c>
      <c r="G331">
        <v>0</v>
      </c>
      <c r="H331">
        <v>0</v>
      </c>
      <c r="I331" s="1">
        <v>45407</v>
      </c>
      <c r="J331" s="1">
        <v>45407</v>
      </c>
      <c r="K331" s="1">
        <v>45407</v>
      </c>
      <c r="L331" s="1">
        <v>45407</v>
      </c>
      <c r="M331" s="1">
        <v>45407</v>
      </c>
      <c r="N331" s="5"/>
      <c r="S331" s="6"/>
      <c r="T331" s="5">
        <f t="shared" si="51"/>
        <v>0</v>
      </c>
      <c r="U331" s="10">
        <f t="shared" si="52"/>
        <v>0</v>
      </c>
      <c r="V331" s="10">
        <f t="shared" si="53"/>
        <v>0</v>
      </c>
      <c r="W331" s="10">
        <f t="shared" si="54"/>
        <v>0</v>
      </c>
      <c r="X331" s="6">
        <f t="shared" si="55"/>
        <v>0</v>
      </c>
      <c r="Y331" s="5">
        <f t="shared" si="56"/>
        <v>0</v>
      </c>
      <c r="Z331" s="10">
        <f t="shared" si="57"/>
        <v>0</v>
      </c>
      <c r="AA331" s="10">
        <f t="shared" si="58"/>
        <v>0</v>
      </c>
      <c r="AB331" s="10">
        <f t="shared" si="59"/>
        <v>0</v>
      </c>
      <c r="AC331" s="6">
        <f t="shared" si="60"/>
        <v>0</v>
      </c>
    </row>
    <row r="332" spans="1:29" x14ac:dyDescent="0.25">
      <c r="A332" t="s">
        <v>235</v>
      </c>
      <c r="B332" t="s">
        <v>42</v>
      </c>
      <c r="C332" s="1" t="s">
        <v>13</v>
      </c>
      <c r="D332">
        <v>0</v>
      </c>
      <c r="E332">
        <v>0</v>
      </c>
      <c r="F332">
        <v>0</v>
      </c>
      <c r="G332">
        <v>0</v>
      </c>
      <c r="H332">
        <v>0</v>
      </c>
      <c r="I332" s="1">
        <v>45407</v>
      </c>
      <c r="J332" s="1">
        <v>45407</v>
      </c>
      <c r="K332" s="1">
        <v>45407</v>
      </c>
      <c r="L332" s="1">
        <v>45407</v>
      </c>
      <c r="M332" s="1">
        <v>45407</v>
      </c>
      <c r="N332" s="5"/>
      <c r="S332" s="6"/>
      <c r="T332" s="5">
        <f t="shared" si="51"/>
        <v>0</v>
      </c>
      <c r="U332" s="10">
        <f t="shared" si="52"/>
        <v>0</v>
      </c>
      <c r="V332" s="10">
        <f t="shared" si="53"/>
        <v>0</v>
      </c>
      <c r="W332" s="10">
        <f t="shared" si="54"/>
        <v>0</v>
      </c>
      <c r="X332" s="6">
        <f t="shared" si="55"/>
        <v>0</v>
      </c>
      <c r="Y332" s="5">
        <f t="shared" si="56"/>
        <v>0</v>
      </c>
      <c r="Z332" s="10">
        <f t="shared" si="57"/>
        <v>0</v>
      </c>
      <c r="AA332" s="10">
        <f t="shared" si="58"/>
        <v>0</v>
      </c>
      <c r="AB332" s="10">
        <f t="shared" si="59"/>
        <v>0</v>
      </c>
      <c r="AC332" s="6">
        <f t="shared" si="60"/>
        <v>0</v>
      </c>
    </row>
    <row r="333" spans="1:29" x14ac:dyDescent="0.25">
      <c r="A333" t="s">
        <v>235</v>
      </c>
      <c r="B333" t="s">
        <v>80</v>
      </c>
      <c r="C333" s="1" t="s">
        <v>13</v>
      </c>
      <c r="D333">
        <v>0</v>
      </c>
      <c r="E333">
        <v>0</v>
      </c>
      <c r="F333">
        <v>24</v>
      </c>
      <c r="G333">
        <v>0</v>
      </c>
      <c r="H333">
        <v>6</v>
      </c>
      <c r="I333" s="1">
        <v>45407</v>
      </c>
      <c r="J333" s="1">
        <v>45407</v>
      </c>
      <c r="K333" s="1">
        <v>45431</v>
      </c>
      <c r="L333" s="1">
        <v>45407</v>
      </c>
      <c r="M333" s="1">
        <v>45413</v>
      </c>
      <c r="N333" s="5">
        <v>194.08904233957529</v>
      </c>
      <c r="Q333">
        <v>213.98443195689831</v>
      </c>
      <c r="S333" s="6">
        <v>201.39654008987449</v>
      </c>
      <c r="T333" s="5">
        <f t="shared" si="51"/>
        <v>0</v>
      </c>
      <c r="U333" s="10">
        <f t="shared" si="52"/>
        <v>0</v>
      </c>
      <c r="V333" s="10">
        <f t="shared" si="53"/>
        <v>10.250650617624423</v>
      </c>
      <c r="W333" s="10">
        <f t="shared" si="54"/>
        <v>0</v>
      </c>
      <c r="X333" s="6">
        <f t="shared" si="55"/>
        <v>3.7650233430046587</v>
      </c>
      <c r="Y333" s="5">
        <f t="shared" si="56"/>
        <v>0</v>
      </c>
      <c r="Z333" s="10">
        <f t="shared" si="57"/>
        <v>0</v>
      </c>
      <c r="AA333" s="10">
        <f t="shared" si="58"/>
        <v>102.50650617624424</v>
      </c>
      <c r="AB333" s="10">
        <f t="shared" si="59"/>
        <v>0</v>
      </c>
      <c r="AC333" s="6">
        <f t="shared" si="60"/>
        <v>37.65023343004659</v>
      </c>
    </row>
    <row r="334" spans="1:29" x14ac:dyDescent="0.25">
      <c r="A334" t="s">
        <v>235</v>
      </c>
      <c r="B334" t="s">
        <v>196</v>
      </c>
      <c r="C334" s="1" t="s">
        <v>13</v>
      </c>
      <c r="D334">
        <v>0</v>
      </c>
      <c r="E334">
        <v>0</v>
      </c>
      <c r="F334">
        <v>0</v>
      </c>
      <c r="G334">
        <v>38</v>
      </c>
      <c r="H334">
        <v>0</v>
      </c>
      <c r="I334" s="1">
        <v>45407</v>
      </c>
      <c r="J334" s="1">
        <v>45407</v>
      </c>
      <c r="K334" s="1">
        <v>45407</v>
      </c>
      <c r="L334" s="1">
        <v>45445</v>
      </c>
      <c r="M334" s="1">
        <v>45407</v>
      </c>
      <c r="N334" s="5">
        <v>34.203222002242917</v>
      </c>
      <c r="R334">
        <v>30.029504942197288</v>
      </c>
      <c r="S334" s="6"/>
      <c r="T334" s="5">
        <f t="shared" si="51"/>
        <v>0</v>
      </c>
      <c r="U334" s="10">
        <f t="shared" si="52"/>
        <v>0</v>
      </c>
      <c r="V334" s="10">
        <f t="shared" si="53"/>
        <v>0</v>
      </c>
      <c r="W334" s="10">
        <f t="shared" si="54"/>
        <v>-12.202701429040609</v>
      </c>
      <c r="X334" s="6">
        <f t="shared" si="55"/>
        <v>0</v>
      </c>
      <c r="Y334" s="5">
        <f t="shared" si="56"/>
        <v>0</v>
      </c>
      <c r="Z334" s="10">
        <f t="shared" si="57"/>
        <v>0</v>
      </c>
      <c r="AA334" s="10">
        <f t="shared" si="58"/>
        <v>0</v>
      </c>
      <c r="AB334" s="10">
        <f t="shared" si="59"/>
        <v>-122.02701429040607</v>
      </c>
      <c r="AC334" s="6">
        <f t="shared" si="60"/>
        <v>0</v>
      </c>
    </row>
    <row r="335" spans="1:29" x14ac:dyDescent="0.25">
      <c r="A335" t="s">
        <v>273</v>
      </c>
      <c r="B335" t="s">
        <v>274</v>
      </c>
      <c r="C335" s="1" t="s">
        <v>14</v>
      </c>
      <c r="D335">
        <v>0</v>
      </c>
      <c r="E335">
        <v>0</v>
      </c>
      <c r="F335">
        <v>0</v>
      </c>
      <c r="G335">
        <v>0</v>
      </c>
      <c r="H335">
        <v>0</v>
      </c>
      <c r="I335" s="1">
        <v>45406</v>
      </c>
      <c r="J335" s="1">
        <v>45406</v>
      </c>
      <c r="K335" s="1">
        <v>45406</v>
      </c>
      <c r="L335" s="1">
        <v>45406</v>
      </c>
      <c r="M335" s="1">
        <v>45406</v>
      </c>
      <c r="N335" s="5"/>
      <c r="S335" s="6"/>
      <c r="T335" s="5">
        <f t="shared" si="51"/>
        <v>0</v>
      </c>
      <c r="U335" s="10">
        <f t="shared" si="52"/>
        <v>0</v>
      </c>
      <c r="V335" s="10">
        <f t="shared" si="53"/>
        <v>0</v>
      </c>
      <c r="W335" s="10">
        <f t="shared" si="54"/>
        <v>0</v>
      </c>
      <c r="X335" s="6">
        <f t="shared" si="55"/>
        <v>0</v>
      </c>
      <c r="Y335" s="5">
        <f t="shared" si="56"/>
        <v>0</v>
      </c>
      <c r="Z335" s="10">
        <f t="shared" si="57"/>
        <v>0</v>
      </c>
      <c r="AA335" s="10">
        <f t="shared" si="58"/>
        <v>0</v>
      </c>
      <c r="AB335" s="10">
        <f t="shared" si="59"/>
        <v>0</v>
      </c>
      <c r="AC335" s="6">
        <f t="shared" si="60"/>
        <v>0</v>
      </c>
    </row>
    <row r="336" spans="1:29" x14ac:dyDescent="0.25">
      <c r="A336" t="s">
        <v>273</v>
      </c>
      <c r="B336" t="s">
        <v>194</v>
      </c>
      <c r="C336" s="1" t="s">
        <v>14</v>
      </c>
      <c r="D336">
        <v>0</v>
      </c>
      <c r="E336">
        <v>0</v>
      </c>
      <c r="F336">
        <v>0</v>
      </c>
      <c r="G336">
        <v>0</v>
      </c>
      <c r="H336">
        <v>0</v>
      </c>
      <c r="I336" s="1">
        <v>45406</v>
      </c>
      <c r="J336" s="1">
        <v>45406</v>
      </c>
      <c r="K336" s="1">
        <v>45406</v>
      </c>
      <c r="L336" s="1">
        <v>45406</v>
      </c>
      <c r="M336" s="1">
        <v>45406</v>
      </c>
      <c r="N336" s="5"/>
      <c r="S336" s="6"/>
      <c r="T336" s="5">
        <f t="shared" si="51"/>
        <v>0</v>
      </c>
      <c r="U336" s="10">
        <f t="shared" si="52"/>
        <v>0</v>
      </c>
      <c r="V336" s="10">
        <f t="shared" si="53"/>
        <v>0</v>
      </c>
      <c r="W336" s="10">
        <f t="shared" si="54"/>
        <v>0</v>
      </c>
      <c r="X336" s="6">
        <f t="shared" si="55"/>
        <v>0</v>
      </c>
      <c r="Y336" s="5">
        <f t="shared" si="56"/>
        <v>0</v>
      </c>
      <c r="Z336" s="10">
        <f t="shared" si="57"/>
        <v>0</v>
      </c>
      <c r="AA336" s="10">
        <f t="shared" si="58"/>
        <v>0</v>
      </c>
      <c r="AB336" s="10">
        <f t="shared" si="59"/>
        <v>0</v>
      </c>
      <c r="AC336" s="6">
        <f t="shared" si="60"/>
        <v>0</v>
      </c>
    </row>
    <row r="337" spans="1:29" x14ac:dyDescent="0.25">
      <c r="A337" t="s">
        <v>275</v>
      </c>
      <c r="B337" t="s">
        <v>247</v>
      </c>
      <c r="C337" s="1" t="s">
        <v>14</v>
      </c>
      <c r="D337">
        <v>0</v>
      </c>
      <c r="E337">
        <v>0</v>
      </c>
      <c r="F337">
        <v>0</v>
      </c>
      <c r="G337">
        <v>0</v>
      </c>
      <c r="H337">
        <v>0</v>
      </c>
      <c r="I337" s="1">
        <v>45406</v>
      </c>
      <c r="J337" s="1">
        <v>45406</v>
      </c>
      <c r="K337" s="1">
        <v>45406</v>
      </c>
      <c r="L337" s="1">
        <v>45406</v>
      </c>
      <c r="M337" s="1">
        <v>45406</v>
      </c>
      <c r="N337" s="5"/>
      <c r="S337" s="6"/>
      <c r="T337" s="5">
        <f t="shared" si="51"/>
        <v>0</v>
      </c>
      <c r="U337" s="10">
        <f t="shared" si="52"/>
        <v>0</v>
      </c>
      <c r="V337" s="10">
        <f t="shared" si="53"/>
        <v>0</v>
      </c>
      <c r="W337" s="10">
        <f t="shared" si="54"/>
        <v>0</v>
      </c>
      <c r="X337" s="6">
        <f t="shared" si="55"/>
        <v>0</v>
      </c>
      <c r="Y337" s="5">
        <f t="shared" si="56"/>
        <v>0</v>
      </c>
      <c r="Z337" s="10">
        <f t="shared" si="57"/>
        <v>0</v>
      </c>
      <c r="AA337" s="10">
        <f t="shared" si="58"/>
        <v>0</v>
      </c>
      <c r="AB337" s="10">
        <f t="shared" si="59"/>
        <v>0</v>
      </c>
      <c r="AC337" s="6">
        <f t="shared" si="60"/>
        <v>0</v>
      </c>
    </row>
    <row r="338" spans="1:29" x14ac:dyDescent="0.25">
      <c r="A338" t="s">
        <v>276</v>
      </c>
      <c r="B338" t="s">
        <v>277</v>
      </c>
      <c r="C338" s="1" t="s">
        <v>14</v>
      </c>
      <c r="D338">
        <v>0</v>
      </c>
      <c r="E338">
        <v>0</v>
      </c>
      <c r="F338">
        <v>24</v>
      </c>
      <c r="G338">
        <v>0</v>
      </c>
      <c r="H338">
        <v>0</v>
      </c>
      <c r="I338" s="1">
        <v>45406</v>
      </c>
      <c r="J338" s="1">
        <v>45406</v>
      </c>
      <c r="K338" s="1">
        <v>45430</v>
      </c>
      <c r="L338" s="1">
        <v>45406</v>
      </c>
      <c r="M338" s="1">
        <v>45406</v>
      </c>
      <c r="N338" s="5">
        <v>27.79999923706055</v>
      </c>
      <c r="Q338">
        <v>32.650001525878913</v>
      </c>
      <c r="S338" s="6"/>
      <c r="T338" s="5">
        <f t="shared" si="51"/>
        <v>0</v>
      </c>
      <c r="U338" s="10">
        <f t="shared" si="52"/>
        <v>0</v>
      </c>
      <c r="V338" s="10">
        <f t="shared" si="53"/>
        <v>17.446051877414305</v>
      </c>
      <c r="W338" s="10">
        <f t="shared" si="54"/>
        <v>0</v>
      </c>
      <c r="X338" s="6">
        <f t="shared" si="55"/>
        <v>0</v>
      </c>
      <c r="Y338" s="5">
        <f t="shared" si="56"/>
        <v>0</v>
      </c>
      <c r="Z338" s="10">
        <f t="shared" si="57"/>
        <v>0</v>
      </c>
      <c r="AA338" s="10">
        <f t="shared" si="58"/>
        <v>174.46051877414305</v>
      </c>
      <c r="AB338" s="10">
        <f t="shared" si="59"/>
        <v>0</v>
      </c>
      <c r="AC338" s="6">
        <f t="shared" si="60"/>
        <v>0</v>
      </c>
    </row>
    <row r="339" spans="1:29" x14ac:dyDescent="0.25">
      <c r="A339" t="s">
        <v>276</v>
      </c>
      <c r="B339" t="s">
        <v>277</v>
      </c>
      <c r="C339" s="1" t="s">
        <v>14</v>
      </c>
      <c r="D339">
        <v>0</v>
      </c>
      <c r="E339">
        <v>0</v>
      </c>
      <c r="F339">
        <v>0</v>
      </c>
      <c r="G339">
        <v>0</v>
      </c>
      <c r="H339">
        <v>0</v>
      </c>
      <c r="I339" s="1">
        <v>45406</v>
      </c>
      <c r="J339" s="1">
        <v>45406</v>
      </c>
      <c r="K339" s="1">
        <v>45406</v>
      </c>
      <c r="L339" s="1">
        <v>45406</v>
      </c>
      <c r="M339" s="1">
        <v>45406</v>
      </c>
      <c r="N339" s="5"/>
      <c r="S339" s="6"/>
      <c r="T339" s="5">
        <f t="shared" si="51"/>
        <v>0</v>
      </c>
      <c r="U339" s="10">
        <f t="shared" si="52"/>
        <v>0</v>
      </c>
      <c r="V339" s="10">
        <f t="shared" si="53"/>
        <v>0</v>
      </c>
      <c r="W339" s="10">
        <f t="shared" si="54"/>
        <v>0</v>
      </c>
      <c r="X339" s="6">
        <f t="shared" si="55"/>
        <v>0</v>
      </c>
      <c r="Y339" s="5">
        <f t="shared" si="56"/>
        <v>0</v>
      </c>
      <c r="Z339" s="10">
        <f t="shared" si="57"/>
        <v>0</v>
      </c>
      <c r="AA339" s="10">
        <f t="shared" si="58"/>
        <v>0</v>
      </c>
      <c r="AB339" s="10">
        <f t="shared" si="59"/>
        <v>0</v>
      </c>
      <c r="AC339" s="6">
        <f t="shared" si="60"/>
        <v>0</v>
      </c>
    </row>
    <row r="340" spans="1:29" x14ac:dyDescent="0.25">
      <c r="A340" t="s">
        <v>21</v>
      </c>
      <c r="B340" t="s">
        <v>278</v>
      </c>
      <c r="C340" s="1" t="s">
        <v>15</v>
      </c>
      <c r="D340">
        <v>37</v>
      </c>
      <c r="E340">
        <v>0</v>
      </c>
      <c r="F340">
        <v>0</v>
      </c>
      <c r="G340">
        <v>0</v>
      </c>
      <c r="H340">
        <v>38</v>
      </c>
      <c r="I340" s="1">
        <v>45442</v>
      </c>
      <c r="J340" s="1">
        <v>45405</v>
      </c>
      <c r="K340" s="1">
        <v>45405</v>
      </c>
      <c r="L340" s="1">
        <v>45405</v>
      </c>
      <c r="M340" s="1">
        <v>45443</v>
      </c>
      <c r="N340" s="5">
        <v>24.993031149279279</v>
      </c>
      <c r="O340">
        <v>25.566378383623281</v>
      </c>
      <c r="S340" s="6">
        <v>25.536464893885402</v>
      </c>
      <c r="T340" s="5">
        <f t="shared" si="51"/>
        <v>2.294028407036719</v>
      </c>
      <c r="U340" s="10">
        <f t="shared" si="52"/>
        <v>0</v>
      </c>
      <c r="V340" s="10">
        <f t="shared" si="53"/>
        <v>0</v>
      </c>
      <c r="W340" s="10">
        <f t="shared" si="54"/>
        <v>0</v>
      </c>
      <c r="X340" s="6">
        <f t="shared" si="55"/>
        <v>2.1743410847619105</v>
      </c>
      <c r="Y340" s="5">
        <f t="shared" si="56"/>
        <v>22.940284070367188</v>
      </c>
      <c r="Z340" s="10">
        <f t="shared" si="57"/>
        <v>0</v>
      </c>
      <c r="AA340" s="10">
        <f t="shared" si="58"/>
        <v>0</v>
      </c>
      <c r="AB340" s="10">
        <f t="shared" si="59"/>
        <v>0</v>
      </c>
      <c r="AC340" s="6">
        <f t="shared" si="60"/>
        <v>21.743410847619106</v>
      </c>
    </row>
    <row r="341" spans="1:29" x14ac:dyDescent="0.25">
      <c r="A341" t="s">
        <v>21</v>
      </c>
      <c r="B341" t="s">
        <v>96</v>
      </c>
      <c r="C341" s="1" t="s">
        <v>15</v>
      </c>
      <c r="D341">
        <v>0</v>
      </c>
      <c r="E341">
        <v>0</v>
      </c>
      <c r="F341">
        <v>0</v>
      </c>
      <c r="G341">
        <v>0</v>
      </c>
      <c r="H341">
        <v>0</v>
      </c>
      <c r="I341" s="1">
        <v>45405</v>
      </c>
      <c r="J341" s="1">
        <v>45405</v>
      </c>
      <c r="K341" s="1">
        <v>45405</v>
      </c>
      <c r="L341" s="1">
        <v>45405</v>
      </c>
      <c r="M341" s="1">
        <v>45405</v>
      </c>
      <c r="N341" s="5"/>
      <c r="S341" s="6"/>
      <c r="T341" s="5">
        <f t="shared" si="51"/>
        <v>0</v>
      </c>
      <c r="U341" s="10">
        <f t="shared" si="52"/>
        <v>0</v>
      </c>
      <c r="V341" s="10">
        <f t="shared" si="53"/>
        <v>0</v>
      </c>
      <c r="W341" s="10">
        <f t="shared" si="54"/>
        <v>0</v>
      </c>
      <c r="X341" s="6">
        <f t="shared" si="55"/>
        <v>0</v>
      </c>
      <c r="Y341" s="5">
        <f t="shared" si="56"/>
        <v>0</v>
      </c>
      <c r="Z341" s="10">
        <f t="shared" si="57"/>
        <v>0</v>
      </c>
      <c r="AA341" s="10">
        <f t="shared" si="58"/>
        <v>0</v>
      </c>
      <c r="AB341" s="10">
        <f t="shared" si="59"/>
        <v>0</v>
      </c>
      <c r="AC341" s="6">
        <f t="shared" si="60"/>
        <v>0</v>
      </c>
    </row>
    <row r="342" spans="1:29" x14ac:dyDescent="0.25">
      <c r="A342" t="s">
        <v>21</v>
      </c>
      <c r="B342" t="s">
        <v>96</v>
      </c>
      <c r="C342" s="1" t="s">
        <v>15</v>
      </c>
      <c r="D342">
        <v>0</v>
      </c>
      <c r="E342">
        <v>0</v>
      </c>
      <c r="F342">
        <v>0</v>
      </c>
      <c r="G342">
        <v>0</v>
      </c>
      <c r="H342">
        <v>0</v>
      </c>
      <c r="I342" s="1">
        <v>45405</v>
      </c>
      <c r="J342" s="1">
        <v>45405</v>
      </c>
      <c r="K342" s="1">
        <v>45405</v>
      </c>
      <c r="L342" s="1">
        <v>45405</v>
      </c>
      <c r="M342" s="1">
        <v>45405</v>
      </c>
      <c r="N342" s="5"/>
      <c r="S342" s="6"/>
      <c r="T342" s="5">
        <f t="shared" si="51"/>
        <v>0</v>
      </c>
      <c r="U342" s="10">
        <f t="shared" si="52"/>
        <v>0</v>
      </c>
      <c r="V342" s="10">
        <f t="shared" si="53"/>
        <v>0</v>
      </c>
      <c r="W342" s="10">
        <f t="shared" si="54"/>
        <v>0</v>
      </c>
      <c r="X342" s="6">
        <f t="shared" si="55"/>
        <v>0</v>
      </c>
      <c r="Y342" s="5">
        <f t="shared" si="56"/>
        <v>0</v>
      </c>
      <c r="Z342" s="10">
        <f t="shared" si="57"/>
        <v>0</v>
      </c>
      <c r="AA342" s="10">
        <f t="shared" si="58"/>
        <v>0</v>
      </c>
      <c r="AB342" s="10">
        <f t="shared" si="59"/>
        <v>0</v>
      </c>
      <c r="AC342" s="6">
        <f t="shared" si="60"/>
        <v>0</v>
      </c>
    </row>
    <row r="343" spans="1:29" x14ac:dyDescent="0.25">
      <c r="A343" t="s">
        <v>21</v>
      </c>
      <c r="B343" t="s">
        <v>279</v>
      </c>
      <c r="C343" s="1" t="s">
        <v>15</v>
      </c>
      <c r="D343">
        <v>0</v>
      </c>
      <c r="E343">
        <v>0</v>
      </c>
      <c r="F343">
        <v>0</v>
      </c>
      <c r="G343">
        <v>0</v>
      </c>
      <c r="H343">
        <v>0</v>
      </c>
      <c r="I343" s="1">
        <v>45405</v>
      </c>
      <c r="J343" s="1">
        <v>45405</v>
      </c>
      <c r="K343" s="1">
        <v>45405</v>
      </c>
      <c r="L343" s="1">
        <v>45405</v>
      </c>
      <c r="M343" s="1">
        <v>45405</v>
      </c>
      <c r="N343" s="5"/>
      <c r="S343" s="6"/>
      <c r="T343" s="5">
        <f t="shared" si="51"/>
        <v>0</v>
      </c>
      <c r="U343" s="10">
        <f t="shared" si="52"/>
        <v>0</v>
      </c>
      <c r="V343" s="10">
        <f t="shared" si="53"/>
        <v>0</v>
      </c>
      <c r="W343" s="10">
        <f t="shared" si="54"/>
        <v>0</v>
      </c>
      <c r="X343" s="6">
        <f t="shared" si="55"/>
        <v>0</v>
      </c>
      <c r="Y343" s="5">
        <f t="shared" si="56"/>
        <v>0</v>
      </c>
      <c r="Z343" s="10">
        <f t="shared" si="57"/>
        <v>0</v>
      </c>
      <c r="AA343" s="10">
        <f t="shared" si="58"/>
        <v>0</v>
      </c>
      <c r="AB343" s="10">
        <f t="shared" si="59"/>
        <v>0</v>
      </c>
      <c r="AC343" s="6">
        <f t="shared" si="60"/>
        <v>0</v>
      </c>
    </row>
    <row r="344" spans="1:29" x14ac:dyDescent="0.25">
      <c r="A344" t="s">
        <v>21</v>
      </c>
      <c r="B344" t="s">
        <v>279</v>
      </c>
      <c r="C344" s="1" t="s">
        <v>15</v>
      </c>
      <c r="D344">
        <v>0</v>
      </c>
      <c r="E344">
        <v>0</v>
      </c>
      <c r="F344">
        <v>0</v>
      </c>
      <c r="G344">
        <v>0</v>
      </c>
      <c r="H344">
        <v>0</v>
      </c>
      <c r="I344" s="1">
        <v>45405</v>
      </c>
      <c r="J344" s="1">
        <v>45405</v>
      </c>
      <c r="K344" s="1">
        <v>45405</v>
      </c>
      <c r="L344" s="1">
        <v>45405</v>
      </c>
      <c r="M344" s="1">
        <v>45405</v>
      </c>
      <c r="N344" s="5"/>
      <c r="S344" s="6"/>
      <c r="T344" s="5">
        <f t="shared" si="51"/>
        <v>0</v>
      </c>
      <c r="U344" s="10">
        <f t="shared" si="52"/>
        <v>0</v>
      </c>
      <c r="V344" s="10">
        <f t="shared" si="53"/>
        <v>0</v>
      </c>
      <c r="W344" s="10">
        <f t="shared" si="54"/>
        <v>0</v>
      </c>
      <c r="X344" s="6">
        <f t="shared" si="55"/>
        <v>0</v>
      </c>
      <c r="Y344" s="5">
        <f t="shared" si="56"/>
        <v>0</v>
      </c>
      <c r="Z344" s="10">
        <f t="shared" si="57"/>
        <v>0</v>
      </c>
      <c r="AA344" s="10">
        <f t="shared" si="58"/>
        <v>0</v>
      </c>
      <c r="AB344" s="10">
        <f t="shared" si="59"/>
        <v>0</v>
      </c>
      <c r="AC344" s="6">
        <f t="shared" si="60"/>
        <v>0</v>
      </c>
    </row>
    <row r="345" spans="1:29" x14ac:dyDescent="0.25">
      <c r="A345" t="s">
        <v>21</v>
      </c>
      <c r="B345" t="s">
        <v>279</v>
      </c>
      <c r="C345" s="1" t="s">
        <v>15</v>
      </c>
      <c r="D345">
        <v>0</v>
      </c>
      <c r="E345">
        <v>0</v>
      </c>
      <c r="F345">
        <v>0</v>
      </c>
      <c r="G345">
        <v>0</v>
      </c>
      <c r="H345">
        <v>0</v>
      </c>
      <c r="I345" s="1">
        <v>45405</v>
      </c>
      <c r="J345" s="1">
        <v>45405</v>
      </c>
      <c r="K345" s="1">
        <v>45405</v>
      </c>
      <c r="L345" s="1">
        <v>45405</v>
      </c>
      <c r="M345" s="1">
        <v>45405</v>
      </c>
      <c r="N345" s="5"/>
      <c r="S345" s="6"/>
      <c r="T345" s="5">
        <f t="shared" si="51"/>
        <v>0</v>
      </c>
      <c r="U345" s="10">
        <f t="shared" si="52"/>
        <v>0</v>
      </c>
      <c r="V345" s="10">
        <f t="shared" si="53"/>
        <v>0</v>
      </c>
      <c r="W345" s="10">
        <f t="shared" si="54"/>
        <v>0</v>
      </c>
      <c r="X345" s="6">
        <f t="shared" si="55"/>
        <v>0</v>
      </c>
      <c r="Y345" s="5">
        <f t="shared" si="56"/>
        <v>0</v>
      </c>
      <c r="Z345" s="10">
        <f t="shared" si="57"/>
        <v>0</v>
      </c>
      <c r="AA345" s="10">
        <f t="shared" si="58"/>
        <v>0</v>
      </c>
      <c r="AB345" s="10">
        <f t="shared" si="59"/>
        <v>0</v>
      </c>
      <c r="AC345" s="6">
        <f t="shared" si="60"/>
        <v>0</v>
      </c>
    </row>
    <row r="346" spans="1:29" x14ac:dyDescent="0.25">
      <c r="A346" t="s">
        <v>21</v>
      </c>
      <c r="B346" t="s">
        <v>279</v>
      </c>
      <c r="C346" s="1" t="s">
        <v>15</v>
      </c>
      <c r="D346">
        <v>0</v>
      </c>
      <c r="E346">
        <v>0</v>
      </c>
      <c r="F346">
        <v>0</v>
      </c>
      <c r="G346">
        <v>0</v>
      </c>
      <c r="H346">
        <v>0</v>
      </c>
      <c r="I346" s="1">
        <v>45405</v>
      </c>
      <c r="J346" s="1">
        <v>45405</v>
      </c>
      <c r="K346" s="1">
        <v>45405</v>
      </c>
      <c r="L346" s="1">
        <v>45405</v>
      </c>
      <c r="M346" s="1">
        <v>45405</v>
      </c>
      <c r="N346" s="5"/>
      <c r="S346" s="6"/>
      <c r="T346" s="5">
        <f t="shared" si="51"/>
        <v>0</v>
      </c>
      <c r="U346" s="10">
        <f t="shared" si="52"/>
        <v>0</v>
      </c>
      <c r="V346" s="10">
        <f t="shared" si="53"/>
        <v>0</v>
      </c>
      <c r="W346" s="10">
        <f t="shared" si="54"/>
        <v>0</v>
      </c>
      <c r="X346" s="6">
        <f t="shared" si="55"/>
        <v>0</v>
      </c>
      <c r="Y346" s="5">
        <f t="shared" si="56"/>
        <v>0</v>
      </c>
      <c r="Z346" s="10">
        <f t="shared" si="57"/>
        <v>0</v>
      </c>
      <c r="AA346" s="10">
        <f t="shared" si="58"/>
        <v>0</v>
      </c>
      <c r="AB346" s="10">
        <f t="shared" si="59"/>
        <v>0</v>
      </c>
      <c r="AC346" s="6">
        <f t="shared" si="60"/>
        <v>0</v>
      </c>
    </row>
    <row r="347" spans="1:29" x14ac:dyDescent="0.25">
      <c r="A347" t="s">
        <v>21</v>
      </c>
      <c r="B347" t="s">
        <v>280</v>
      </c>
      <c r="C347" s="1" t="s">
        <v>15</v>
      </c>
      <c r="D347">
        <v>0</v>
      </c>
      <c r="E347">
        <v>0</v>
      </c>
      <c r="F347">
        <v>0</v>
      </c>
      <c r="G347">
        <v>0</v>
      </c>
      <c r="H347">
        <v>0</v>
      </c>
      <c r="I347" s="1">
        <v>45405</v>
      </c>
      <c r="J347" s="1">
        <v>45405</v>
      </c>
      <c r="K347" s="1">
        <v>45405</v>
      </c>
      <c r="L347" s="1">
        <v>45405</v>
      </c>
      <c r="M347" s="1">
        <v>45405</v>
      </c>
      <c r="N347" s="5"/>
      <c r="S347" s="6"/>
      <c r="T347" s="5">
        <f t="shared" si="51"/>
        <v>0</v>
      </c>
      <c r="U347" s="10">
        <f t="shared" si="52"/>
        <v>0</v>
      </c>
      <c r="V347" s="10">
        <f t="shared" si="53"/>
        <v>0</v>
      </c>
      <c r="W347" s="10">
        <f t="shared" si="54"/>
        <v>0</v>
      </c>
      <c r="X347" s="6">
        <f t="shared" si="55"/>
        <v>0</v>
      </c>
      <c r="Y347" s="5">
        <f t="shared" si="56"/>
        <v>0</v>
      </c>
      <c r="Z347" s="10">
        <f t="shared" si="57"/>
        <v>0</v>
      </c>
      <c r="AA347" s="10">
        <f t="shared" si="58"/>
        <v>0</v>
      </c>
      <c r="AB347" s="10">
        <f t="shared" si="59"/>
        <v>0</v>
      </c>
      <c r="AC347" s="6">
        <f t="shared" si="60"/>
        <v>0</v>
      </c>
    </row>
    <row r="348" spans="1:29" x14ac:dyDescent="0.25">
      <c r="A348" t="s">
        <v>21</v>
      </c>
      <c r="B348" t="s">
        <v>280</v>
      </c>
      <c r="C348" s="1" t="s">
        <v>15</v>
      </c>
      <c r="D348">
        <v>0</v>
      </c>
      <c r="E348">
        <v>0</v>
      </c>
      <c r="F348">
        <v>0</v>
      </c>
      <c r="G348">
        <v>0</v>
      </c>
      <c r="H348">
        <v>0</v>
      </c>
      <c r="I348" s="1">
        <v>45405</v>
      </c>
      <c r="J348" s="1">
        <v>45405</v>
      </c>
      <c r="K348" s="1">
        <v>45405</v>
      </c>
      <c r="L348" s="1">
        <v>45405</v>
      </c>
      <c r="M348" s="1">
        <v>45405</v>
      </c>
      <c r="N348" s="5"/>
      <c r="S348" s="6"/>
      <c r="T348" s="5">
        <f t="shared" si="51"/>
        <v>0</v>
      </c>
      <c r="U348" s="10">
        <f t="shared" si="52"/>
        <v>0</v>
      </c>
      <c r="V348" s="10">
        <f t="shared" si="53"/>
        <v>0</v>
      </c>
      <c r="W348" s="10">
        <f t="shared" si="54"/>
        <v>0</v>
      </c>
      <c r="X348" s="6">
        <f t="shared" si="55"/>
        <v>0</v>
      </c>
      <c r="Y348" s="5">
        <f t="shared" si="56"/>
        <v>0</v>
      </c>
      <c r="Z348" s="10">
        <f t="shared" si="57"/>
        <v>0</v>
      </c>
      <c r="AA348" s="10">
        <f t="shared" si="58"/>
        <v>0</v>
      </c>
      <c r="AB348" s="10">
        <f t="shared" si="59"/>
        <v>0</v>
      </c>
      <c r="AC348" s="6">
        <f t="shared" si="60"/>
        <v>0</v>
      </c>
    </row>
    <row r="349" spans="1:29" x14ac:dyDescent="0.25">
      <c r="A349" t="s">
        <v>21</v>
      </c>
      <c r="B349" t="s">
        <v>177</v>
      </c>
      <c r="C349" s="1" t="s">
        <v>15</v>
      </c>
      <c r="D349">
        <v>0</v>
      </c>
      <c r="E349">
        <v>0</v>
      </c>
      <c r="F349">
        <v>0</v>
      </c>
      <c r="G349">
        <v>0</v>
      </c>
      <c r="H349">
        <v>36</v>
      </c>
      <c r="I349" s="1">
        <v>45405</v>
      </c>
      <c r="J349" s="1">
        <v>45405</v>
      </c>
      <c r="K349" s="1">
        <v>45405</v>
      </c>
      <c r="L349" s="1">
        <v>45405</v>
      </c>
      <c r="M349" s="1">
        <v>45441</v>
      </c>
      <c r="N349" s="5">
        <v>61.592498779296882</v>
      </c>
      <c r="S349" s="6">
        <v>78</v>
      </c>
      <c r="T349" s="5">
        <f t="shared" si="51"/>
        <v>0</v>
      </c>
      <c r="U349" s="10">
        <f t="shared" si="52"/>
        <v>0</v>
      </c>
      <c r="V349" s="10">
        <f t="shared" si="53"/>
        <v>0</v>
      </c>
      <c r="W349" s="10">
        <f t="shared" si="54"/>
        <v>0</v>
      </c>
      <c r="X349" s="6">
        <f t="shared" si="55"/>
        <v>26.638797817727401</v>
      </c>
      <c r="Y349" s="5">
        <f t="shared" si="56"/>
        <v>0</v>
      </c>
      <c r="Z349" s="10">
        <f t="shared" si="57"/>
        <v>0</v>
      </c>
      <c r="AA349" s="10">
        <f t="shared" si="58"/>
        <v>0</v>
      </c>
      <c r="AB349" s="10">
        <f t="shared" si="59"/>
        <v>0</v>
      </c>
      <c r="AC349" s="6">
        <f t="shared" si="60"/>
        <v>266.38797817727402</v>
      </c>
    </row>
    <row r="350" spans="1:29" x14ac:dyDescent="0.25">
      <c r="A350" t="s">
        <v>21</v>
      </c>
      <c r="B350" t="s">
        <v>41</v>
      </c>
      <c r="C350" s="1" t="s">
        <v>15</v>
      </c>
      <c r="D350">
        <v>0</v>
      </c>
      <c r="E350">
        <v>0</v>
      </c>
      <c r="F350">
        <v>0</v>
      </c>
      <c r="G350">
        <v>0</v>
      </c>
      <c r="H350">
        <v>0</v>
      </c>
      <c r="I350" s="1">
        <v>45405</v>
      </c>
      <c r="J350" s="1">
        <v>45405</v>
      </c>
      <c r="K350" s="1">
        <v>45405</v>
      </c>
      <c r="L350" s="1">
        <v>45405</v>
      </c>
      <c r="M350" s="1">
        <v>45405</v>
      </c>
      <c r="N350" s="5"/>
      <c r="S350" s="6"/>
      <c r="T350" s="5">
        <f t="shared" si="51"/>
        <v>0</v>
      </c>
      <c r="U350" s="10">
        <f t="shared" si="52"/>
        <v>0</v>
      </c>
      <c r="V350" s="10">
        <f t="shared" si="53"/>
        <v>0</v>
      </c>
      <c r="W350" s="10">
        <f t="shared" si="54"/>
        <v>0</v>
      </c>
      <c r="X350" s="6">
        <f t="shared" si="55"/>
        <v>0</v>
      </c>
      <c r="Y350" s="5">
        <f t="shared" si="56"/>
        <v>0</v>
      </c>
      <c r="Z350" s="10">
        <f t="shared" si="57"/>
        <v>0</v>
      </c>
      <c r="AA350" s="10">
        <f t="shared" si="58"/>
        <v>0</v>
      </c>
      <c r="AB350" s="10">
        <f t="shared" si="59"/>
        <v>0</v>
      </c>
      <c r="AC350" s="6">
        <f t="shared" si="60"/>
        <v>0</v>
      </c>
    </row>
    <row r="351" spans="1:29" x14ac:dyDescent="0.25">
      <c r="A351" t="s">
        <v>21</v>
      </c>
      <c r="B351" t="s">
        <v>281</v>
      </c>
      <c r="C351" s="1" t="s">
        <v>15</v>
      </c>
      <c r="D351">
        <v>0</v>
      </c>
      <c r="E351">
        <v>0</v>
      </c>
      <c r="F351">
        <v>0</v>
      </c>
      <c r="G351">
        <v>0</v>
      </c>
      <c r="H351">
        <v>0</v>
      </c>
      <c r="I351" s="1">
        <v>45405</v>
      </c>
      <c r="J351" s="1">
        <v>45405</v>
      </c>
      <c r="K351" s="1">
        <v>45405</v>
      </c>
      <c r="L351" s="1">
        <v>45405</v>
      </c>
      <c r="M351" s="1">
        <v>45405</v>
      </c>
      <c r="N351" s="5"/>
      <c r="S351" s="6"/>
      <c r="T351" s="5">
        <f t="shared" si="51"/>
        <v>0</v>
      </c>
      <c r="U351" s="10">
        <f t="shared" si="52"/>
        <v>0</v>
      </c>
      <c r="V351" s="10">
        <f t="shared" si="53"/>
        <v>0</v>
      </c>
      <c r="W351" s="10">
        <f t="shared" si="54"/>
        <v>0</v>
      </c>
      <c r="X351" s="6">
        <f t="shared" si="55"/>
        <v>0</v>
      </c>
      <c r="Y351" s="5">
        <f t="shared" si="56"/>
        <v>0</v>
      </c>
      <c r="Z351" s="10">
        <f t="shared" si="57"/>
        <v>0</v>
      </c>
      <c r="AA351" s="10">
        <f t="shared" si="58"/>
        <v>0</v>
      </c>
      <c r="AB351" s="10">
        <f t="shared" si="59"/>
        <v>0</v>
      </c>
      <c r="AC351" s="6">
        <f t="shared" si="60"/>
        <v>0</v>
      </c>
    </row>
    <row r="352" spans="1:29" x14ac:dyDescent="0.25">
      <c r="A352" t="s">
        <v>21</v>
      </c>
      <c r="B352" t="s">
        <v>282</v>
      </c>
      <c r="C352" s="1" t="s">
        <v>15</v>
      </c>
      <c r="D352">
        <v>0</v>
      </c>
      <c r="E352">
        <v>0</v>
      </c>
      <c r="F352">
        <v>0</v>
      </c>
      <c r="G352">
        <v>0</v>
      </c>
      <c r="H352">
        <v>0</v>
      </c>
      <c r="I352" s="1">
        <v>45405</v>
      </c>
      <c r="J352" s="1">
        <v>45405</v>
      </c>
      <c r="K352" s="1">
        <v>45405</v>
      </c>
      <c r="L352" s="1">
        <v>45405</v>
      </c>
      <c r="M352" s="1">
        <v>45405</v>
      </c>
      <c r="N352" s="5"/>
      <c r="S352" s="6"/>
      <c r="T352" s="5">
        <f t="shared" si="51"/>
        <v>0</v>
      </c>
      <c r="U352" s="10">
        <f t="shared" si="52"/>
        <v>0</v>
      </c>
      <c r="V352" s="10">
        <f t="shared" si="53"/>
        <v>0</v>
      </c>
      <c r="W352" s="10">
        <f t="shared" si="54"/>
        <v>0</v>
      </c>
      <c r="X352" s="6">
        <f t="shared" si="55"/>
        <v>0</v>
      </c>
      <c r="Y352" s="5">
        <f t="shared" si="56"/>
        <v>0</v>
      </c>
      <c r="Z352" s="10">
        <f t="shared" si="57"/>
        <v>0</v>
      </c>
      <c r="AA352" s="10">
        <f t="shared" si="58"/>
        <v>0</v>
      </c>
      <c r="AB352" s="10">
        <f t="shared" si="59"/>
        <v>0</v>
      </c>
      <c r="AC352" s="6">
        <f t="shared" si="60"/>
        <v>0</v>
      </c>
    </row>
    <row r="353" spans="1:29" x14ac:dyDescent="0.25">
      <c r="A353" t="s">
        <v>21</v>
      </c>
      <c r="B353" t="s">
        <v>283</v>
      </c>
      <c r="C353" s="1" t="s">
        <v>15</v>
      </c>
      <c r="D353">
        <v>0</v>
      </c>
      <c r="E353">
        <v>0</v>
      </c>
      <c r="F353">
        <v>0</v>
      </c>
      <c r="G353">
        <v>0</v>
      </c>
      <c r="H353">
        <v>0</v>
      </c>
      <c r="I353" s="1">
        <v>45405</v>
      </c>
      <c r="J353" s="1">
        <v>45405</v>
      </c>
      <c r="K353" s="1">
        <v>45405</v>
      </c>
      <c r="L353" s="1">
        <v>45405</v>
      </c>
      <c r="M353" s="1">
        <v>45405</v>
      </c>
      <c r="N353" s="5"/>
      <c r="S353" s="6"/>
      <c r="T353" s="5">
        <f t="shared" si="51"/>
        <v>0</v>
      </c>
      <c r="U353" s="10">
        <f t="shared" si="52"/>
        <v>0</v>
      </c>
      <c r="V353" s="10">
        <f t="shared" si="53"/>
        <v>0</v>
      </c>
      <c r="W353" s="10">
        <f t="shared" si="54"/>
        <v>0</v>
      </c>
      <c r="X353" s="6">
        <f t="shared" si="55"/>
        <v>0</v>
      </c>
      <c r="Y353" s="5">
        <f t="shared" si="56"/>
        <v>0</v>
      </c>
      <c r="Z353" s="10">
        <f t="shared" si="57"/>
        <v>0</v>
      </c>
      <c r="AA353" s="10">
        <f t="shared" si="58"/>
        <v>0</v>
      </c>
      <c r="AB353" s="10">
        <f t="shared" si="59"/>
        <v>0</v>
      </c>
      <c r="AC353" s="6">
        <f t="shared" si="60"/>
        <v>0</v>
      </c>
    </row>
    <row r="354" spans="1:29" x14ac:dyDescent="0.25">
      <c r="A354" t="s">
        <v>21</v>
      </c>
      <c r="B354" t="s">
        <v>284</v>
      </c>
      <c r="C354" s="1" t="s">
        <v>15</v>
      </c>
      <c r="D354">
        <v>0</v>
      </c>
      <c r="E354">
        <v>0</v>
      </c>
      <c r="F354">
        <v>0</v>
      </c>
      <c r="G354">
        <v>0</v>
      </c>
      <c r="H354">
        <v>0</v>
      </c>
      <c r="I354" s="1">
        <v>45405</v>
      </c>
      <c r="J354" s="1">
        <v>45405</v>
      </c>
      <c r="K354" s="1">
        <v>45405</v>
      </c>
      <c r="L354" s="1">
        <v>45405</v>
      </c>
      <c r="M354" s="1">
        <v>45405</v>
      </c>
      <c r="N354" s="5"/>
      <c r="S354" s="6"/>
      <c r="T354" s="5">
        <f t="shared" si="51"/>
        <v>0</v>
      </c>
      <c r="U354" s="10">
        <f t="shared" si="52"/>
        <v>0</v>
      </c>
      <c r="V354" s="10">
        <f t="shared" si="53"/>
        <v>0</v>
      </c>
      <c r="W354" s="10">
        <f t="shared" si="54"/>
        <v>0</v>
      </c>
      <c r="X354" s="6">
        <f t="shared" si="55"/>
        <v>0</v>
      </c>
      <c r="Y354" s="5">
        <f t="shared" si="56"/>
        <v>0</v>
      </c>
      <c r="Z354" s="10">
        <f t="shared" si="57"/>
        <v>0</v>
      </c>
      <c r="AA354" s="10">
        <f t="shared" si="58"/>
        <v>0</v>
      </c>
      <c r="AB354" s="10">
        <f t="shared" si="59"/>
        <v>0</v>
      </c>
      <c r="AC354" s="6">
        <f t="shared" si="60"/>
        <v>0</v>
      </c>
    </row>
    <row r="355" spans="1:29" x14ac:dyDescent="0.25">
      <c r="A355" t="s">
        <v>21</v>
      </c>
      <c r="B355" t="s">
        <v>285</v>
      </c>
      <c r="C355" s="1" t="s">
        <v>15</v>
      </c>
      <c r="D355">
        <v>0</v>
      </c>
      <c r="E355">
        <v>0</v>
      </c>
      <c r="F355">
        <v>0</v>
      </c>
      <c r="G355">
        <v>0</v>
      </c>
      <c r="H355">
        <v>0</v>
      </c>
      <c r="I355" s="1">
        <v>45405</v>
      </c>
      <c r="J355" s="1">
        <v>45405</v>
      </c>
      <c r="K355" s="1">
        <v>45405</v>
      </c>
      <c r="L355" s="1">
        <v>45405</v>
      </c>
      <c r="M355" s="1">
        <v>45405</v>
      </c>
      <c r="N355" s="5"/>
      <c r="S355" s="6"/>
      <c r="T355" s="5">
        <f t="shared" si="51"/>
        <v>0</v>
      </c>
      <c r="U355" s="10">
        <f t="shared" si="52"/>
        <v>0</v>
      </c>
      <c r="V355" s="10">
        <f t="shared" si="53"/>
        <v>0</v>
      </c>
      <c r="W355" s="10">
        <f t="shared" si="54"/>
        <v>0</v>
      </c>
      <c r="X355" s="6">
        <f t="shared" si="55"/>
        <v>0</v>
      </c>
      <c r="Y355" s="5">
        <f t="shared" si="56"/>
        <v>0</v>
      </c>
      <c r="Z355" s="10">
        <f t="shared" si="57"/>
        <v>0</v>
      </c>
      <c r="AA355" s="10">
        <f t="shared" si="58"/>
        <v>0</v>
      </c>
      <c r="AB355" s="10">
        <f t="shared" si="59"/>
        <v>0</v>
      </c>
      <c r="AC355" s="6">
        <f t="shared" si="60"/>
        <v>0</v>
      </c>
    </row>
    <row r="356" spans="1:29" x14ac:dyDescent="0.25">
      <c r="A356" t="s">
        <v>21</v>
      </c>
      <c r="B356" t="s">
        <v>286</v>
      </c>
      <c r="C356" s="1" t="s">
        <v>15</v>
      </c>
      <c r="D356">
        <v>0</v>
      </c>
      <c r="E356">
        <v>0</v>
      </c>
      <c r="F356">
        <v>0</v>
      </c>
      <c r="G356">
        <v>0</v>
      </c>
      <c r="H356">
        <v>0</v>
      </c>
      <c r="I356" s="1">
        <v>45405</v>
      </c>
      <c r="J356" s="1">
        <v>45405</v>
      </c>
      <c r="K356" s="1">
        <v>45405</v>
      </c>
      <c r="L356" s="1">
        <v>45405</v>
      </c>
      <c r="M356" s="1">
        <v>45405</v>
      </c>
      <c r="N356" s="5"/>
      <c r="S356" s="6"/>
      <c r="T356" s="5">
        <f t="shared" si="51"/>
        <v>0</v>
      </c>
      <c r="U356" s="10">
        <f t="shared" si="52"/>
        <v>0</v>
      </c>
      <c r="V356" s="10">
        <f t="shared" si="53"/>
        <v>0</v>
      </c>
      <c r="W356" s="10">
        <f t="shared" si="54"/>
        <v>0</v>
      </c>
      <c r="X356" s="6">
        <f t="shared" si="55"/>
        <v>0</v>
      </c>
      <c r="Y356" s="5">
        <f t="shared" si="56"/>
        <v>0</v>
      </c>
      <c r="Z356" s="10">
        <f t="shared" si="57"/>
        <v>0</v>
      </c>
      <c r="AA356" s="10">
        <f t="shared" si="58"/>
        <v>0</v>
      </c>
      <c r="AB356" s="10">
        <f t="shared" si="59"/>
        <v>0</v>
      </c>
      <c r="AC356" s="6">
        <f t="shared" si="60"/>
        <v>0</v>
      </c>
    </row>
    <row r="357" spans="1:29" x14ac:dyDescent="0.25">
      <c r="A357" t="s">
        <v>21</v>
      </c>
      <c r="B357" t="s">
        <v>287</v>
      </c>
      <c r="C357" s="1" t="s">
        <v>15</v>
      </c>
      <c r="D357">
        <v>0</v>
      </c>
      <c r="E357">
        <v>0</v>
      </c>
      <c r="F357">
        <v>0</v>
      </c>
      <c r="G357">
        <v>0</v>
      </c>
      <c r="H357">
        <v>0</v>
      </c>
      <c r="I357" s="1">
        <v>45405</v>
      </c>
      <c r="J357" s="1">
        <v>45405</v>
      </c>
      <c r="K357" s="1">
        <v>45405</v>
      </c>
      <c r="L357" s="1">
        <v>45405</v>
      </c>
      <c r="M357" s="1">
        <v>45405</v>
      </c>
      <c r="N357" s="5"/>
      <c r="S357" s="6"/>
      <c r="T357" s="5">
        <f t="shared" si="51"/>
        <v>0</v>
      </c>
      <c r="U357" s="10">
        <f t="shared" si="52"/>
        <v>0</v>
      </c>
      <c r="V357" s="10">
        <f t="shared" si="53"/>
        <v>0</v>
      </c>
      <c r="W357" s="10">
        <f t="shared" si="54"/>
        <v>0</v>
      </c>
      <c r="X357" s="6">
        <f t="shared" si="55"/>
        <v>0</v>
      </c>
      <c r="Y357" s="5">
        <f t="shared" si="56"/>
        <v>0</v>
      </c>
      <c r="Z357" s="10">
        <f t="shared" si="57"/>
        <v>0</v>
      </c>
      <c r="AA357" s="10">
        <f t="shared" si="58"/>
        <v>0</v>
      </c>
      <c r="AB357" s="10">
        <f t="shared" si="59"/>
        <v>0</v>
      </c>
      <c r="AC357" s="6">
        <f t="shared" si="60"/>
        <v>0</v>
      </c>
    </row>
    <row r="358" spans="1:29" x14ac:dyDescent="0.25">
      <c r="A358" t="s">
        <v>21</v>
      </c>
      <c r="B358" t="s">
        <v>247</v>
      </c>
      <c r="C358" s="1" t="s">
        <v>15</v>
      </c>
      <c r="D358">
        <v>0</v>
      </c>
      <c r="E358">
        <v>0</v>
      </c>
      <c r="F358">
        <v>0</v>
      </c>
      <c r="G358">
        <v>0</v>
      </c>
      <c r="H358">
        <v>0</v>
      </c>
      <c r="I358" s="1">
        <v>45405</v>
      </c>
      <c r="J358" s="1">
        <v>45405</v>
      </c>
      <c r="K358" s="1">
        <v>45405</v>
      </c>
      <c r="L358" s="1">
        <v>45405</v>
      </c>
      <c r="M358" s="1">
        <v>45405</v>
      </c>
      <c r="N358" s="5"/>
      <c r="S358" s="6"/>
      <c r="T358" s="5">
        <f t="shared" si="51"/>
        <v>0</v>
      </c>
      <c r="U358" s="10">
        <f t="shared" si="52"/>
        <v>0</v>
      </c>
      <c r="V358" s="10">
        <f t="shared" si="53"/>
        <v>0</v>
      </c>
      <c r="W358" s="10">
        <f t="shared" si="54"/>
        <v>0</v>
      </c>
      <c r="X358" s="6">
        <f t="shared" si="55"/>
        <v>0</v>
      </c>
      <c r="Y358" s="5">
        <f t="shared" si="56"/>
        <v>0</v>
      </c>
      <c r="Z358" s="10">
        <f t="shared" si="57"/>
        <v>0</v>
      </c>
      <c r="AA358" s="10">
        <f t="shared" si="58"/>
        <v>0</v>
      </c>
      <c r="AB358" s="10">
        <f t="shared" si="59"/>
        <v>0</v>
      </c>
      <c r="AC358" s="6">
        <f t="shared" si="60"/>
        <v>0</v>
      </c>
    </row>
    <row r="359" spans="1:29" x14ac:dyDescent="0.25">
      <c r="A359" t="s">
        <v>21</v>
      </c>
      <c r="B359" t="s">
        <v>249</v>
      </c>
      <c r="C359" s="1" t="s">
        <v>15</v>
      </c>
      <c r="D359">
        <v>0</v>
      </c>
      <c r="E359">
        <v>0</v>
      </c>
      <c r="F359">
        <v>0</v>
      </c>
      <c r="G359">
        <v>0</v>
      </c>
      <c r="H359">
        <v>0</v>
      </c>
      <c r="I359" s="1">
        <v>45405</v>
      </c>
      <c r="J359" s="1">
        <v>45405</v>
      </c>
      <c r="K359" s="1">
        <v>45405</v>
      </c>
      <c r="L359" s="1">
        <v>45405</v>
      </c>
      <c r="M359" s="1">
        <v>45405</v>
      </c>
      <c r="N359" s="5"/>
      <c r="S359" s="6"/>
      <c r="T359" s="5">
        <f t="shared" si="51"/>
        <v>0</v>
      </c>
      <c r="U359" s="10">
        <f t="shared" si="52"/>
        <v>0</v>
      </c>
      <c r="V359" s="10">
        <f t="shared" si="53"/>
        <v>0</v>
      </c>
      <c r="W359" s="10">
        <f t="shared" si="54"/>
        <v>0</v>
      </c>
      <c r="X359" s="6">
        <f t="shared" si="55"/>
        <v>0</v>
      </c>
      <c r="Y359" s="5">
        <f t="shared" si="56"/>
        <v>0</v>
      </c>
      <c r="Z359" s="10">
        <f t="shared" si="57"/>
        <v>0</v>
      </c>
      <c r="AA359" s="10">
        <f t="shared" si="58"/>
        <v>0</v>
      </c>
      <c r="AB359" s="10">
        <f t="shared" si="59"/>
        <v>0</v>
      </c>
      <c r="AC359" s="6">
        <f t="shared" si="60"/>
        <v>0</v>
      </c>
    </row>
    <row r="360" spans="1:29" x14ac:dyDescent="0.25">
      <c r="A360" t="s">
        <v>21</v>
      </c>
      <c r="B360" t="s">
        <v>24</v>
      </c>
      <c r="C360" s="1" t="s">
        <v>15</v>
      </c>
      <c r="D360">
        <v>0</v>
      </c>
      <c r="E360">
        <v>0</v>
      </c>
      <c r="F360">
        <v>0</v>
      </c>
      <c r="G360">
        <v>0</v>
      </c>
      <c r="H360">
        <v>0</v>
      </c>
      <c r="I360" s="1">
        <v>45405</v>
      </c>
      <c r="J360" s="1">
        <v>45405</v>
      </c>
      <c r="K360" s="1">
        <v>45405</v>
      </c>
      <c r="L360" s="1">
        <v>45405</v>
      </c>
      <c r="M360" s="1">
        <v>45405</v>
      </c>
      <c r="N360" s="5"/>
      <c r="S360" s="6"/>
      <c r="T360" s="5">
        <f t="shared" si="51"/>
        <v>0</v>
      </c>
      <c r="U360" s="10">
        <f t="shared" si="52"/>
        <v>0</v>
      </c>
      <c r="V360" s="10">
        <f t="shared" si="53"/>
        <v>0</v>
      </c>
      <c r="W360" s="10">
        <f t="shared" si="54"/>
        <v>0</v>
      </c>
      <c r="X360" s="6">
        <f t="shared" si="55"/>
        <v>0</v>
      </c>
      <c r="Y360" s="5">
        <f t="shared" si="56"/>
        <v>0</v>
      </c>
      <c r="Z360" s="10">
        <f t="shared" si="57"/>
        <v>0</v>
      </c>
      <c r="AA360" s="10">
        <f t="shared" si="58"/>
        <v>0</v>
      </c>
      <c r="AB360" s="10">
        <f t="shared" si="59"/>
        <v>0</v>
      </c>
      <c r="AC360" s="6">
        <f t="shared" si="60"/>
        <v>0</v>
      </c>
    </row>
    <row r="361" spans="1:29" x14ac:dyDescent="0.25">
      <c r="A361" t="s">
        <v>21</v>
      </c>
      <c r="B361" t="s">
        <v>23</v>
      </c>
      <c r="C361" s="1" t="s">
        <v>15</v>
      </c>
      <c r="D361">
        <v>0</v>
      </c>
      <c r="E361">
        <v>0</v>
      </c>
      <c r="F361">
        <v>0</v>
      </c>
      <c r="G361">
        <v>0</v>
      </c>
      <c r="H361">
        <v>0</v>
      </c>
      <c r="I361" s="1">
        <v>45405</v>
      </c>
      <c r="J361" s="1">
        <v>45405</v>
      </c>
      <c r="K361" s="1">
        <v>45405</v>
      </c>
      <c r="L361" s="1">
        <v>45405</v>
      </c>
      <c r="M361" s="1">
        <v>45405</v>
      </c>
      <c r="N361" s="5"/>
      <c r="S361" s="6"/>
      <c r="T361" s="5">
        <f t="shared" si="51"/>
        <v>0</v>
      </c>
      <c r="U361" s="10">
        <f t="shared" si="52"/>
        <v>0</v>
      </c>
      <c r="V361" s="10">
        <f t="shared" si="53"/>
        <v>0</v>
      </c>
      <c r="W361" s="10">
        <f t="shared" si="54"/>
        <v>0</v>
      </c>
      <c r="X361" s="6">
        <f t="shared" si="55"/>
        <v>0</v>
      </c>
      <c r="Y361" s="5">
        <f t="shared" si="56"/>
        <v>0</v>
      </c>
      <c r="Z361" s="10">
        <f t="shared" si="57"/>
        <v>0</v>
      </c>
      <c r="AA361" s="10">
        <f t="shared" si="58"/>
        <v>0</v>
      </c>
      <c r="AB361" s="10">
        <f t="shared" si="59"/>
        <v>0</v>
      </c>
      <c r="AC361" s="6">
        <f t="shared" si="60"/>
        <v>0</v>
      </c>
    </row>
    <row r="362" spans="1:29" x14ac:dyDescent="0.25">
      <c r="A362" t="s">
        <v>21</v>
      </c>
      <c r="B362" t="s">
        <v>22</v>
      </c>
      <c r="C362" s="1" t="s">
        <v>15</v>
      </c>
      <c r="D362">
        <v>0</v>
      </c>
      <c r="E362">
        <v>0</v>
      </c>
      <c r="F362">
        <v>0</v>
      </c>
      <c r="G362">
        <v>0</v>
      </c>
      <c r="H362">
        <v>0</v>
      </c>
      <c r="I362" s="1">
        <v>45405</v>
      </c>
      <c r="J362" s="1">
        <v>45405</v>
      </c>
      <c r="K362" s="1">
        <v>45405</v>
      </c>
      <c r="L362" s="1">
        <v>45405</v>
      </c>
      <c r="M362" s="1">
        <v>45405</v>
      </c>
      <c r="N362" s="5"/>
      <c r="S362" s="6"/>
      <c r="T362" s="5">
        <f t="shared" si="51"/>
        <v>0</v>
      </c>
      <c r="U362" s="10">
        <f t="shared" si="52"/>
        <v>0</v>
      </c>
      <c r="V362" s="10">
        <f t="shared" si="53"/>
        <v>0</v>
      </c>
      <c r="W362" s="10">
        <f t="shared" si="54"/>
        <v>0</v>
      </c>
      <c r="X362" s="6">
        <f t="shared" si="55"/>
        <v>0</v>
      </c>
      <c r="Y362" s="5">
        <f t="shared" si="56"/>
        <v>0</v>
      </c>
      <c r="Z362" s="10">
        <f t="shared" si="57"/>
        <v>0</v>
      </c>
      <c r="AA362" s="10">
        <f t="shared" si="58"/>
        <v>0</v>
      </c>
      <c r="AB362" s="10">
        <f t="shared" si="59"/>
        <v>0</v>
      </c>
      <c r="AC362" s="6">
        <f t="shared" si="60"/>
        <v>0</v>
      </c>
    </row>
    <row r="363" spans="1:29" x14ac:dyDescent="0.25">
      <c r="A363" t="s">
        <v>21</v>
      </c>
      <c r="B363" t="s">
        <v>41</v>
      </c>
      <c r="C363" s="1" t="s">
        <v>15</v>
      </c>
      <c r="D363">
        <v>0</v>
      </c>
      <c r="E363">
        <v>0</v>
      </c>
      <c r="F363">
        <v>0</v>
      </c>
      <c r="G363">
        <v>0</v>
      </c>
      <c r="H363">
        <v>0</v>
      </c>
      <c r="I363" s="1">
        <v>45405</v>
      </c>
      <c r="J363" s="1">
        <v>45405</v>
      </c>
      <c r="K363" s="1">
        <v>45405</v>
      </c>
      <c r="L363" s="1">
        <v>45405</v>
      </c>
      <c r="M363" s="1">
        <v>45405</v>
      </c>
      <c r="N363" s="5"/>
      <c r="S363" s="6"/>
      <c r="T363" s="5">
        <f t="shared" si="51"/>
        <v>0</v>
      </c>
      <c r="U363" s="10">
        <f t="shared" si="52"/>
        <v>0</v>
      </c>
      <c r="V363" s="10">
        <f t="shared" si="53"/>
        <v>0</v>
      </c>
      <c r="W363" s="10">
        <f t="shared" si="54"/>
        <v>0</v>
      </c>
      <c r="X363" s="6">
        <f t="shared" si="55"/>
        <v>0</v>
      </c>
      <c r="Y363" s="5">
        <f t="shared" si="56"/>
        <v>0</v>
      </c>
      <c r="Z363" s="10">
        <f t="shared" si="57"/>
        <v>0</v>
      </c>
      <c r="AA363" s="10">
        <f t="shared" si="58"/>
        <v>0</v>
      </c>
      <c r="AB363" s="10">
        <f t="shared" si="59"/>
        <v>0</v>
      </c>
      <c r="AC363" s="6">
        <f t="shared" si="60"/>
        <v>0</v>
      </c>
    </row>
    <row r="364" spans="1:29" x14ac:dyDescent="0.25">
      <c r="A364" t="s">
        <v>21</v>
      </c>
      <c r="B364" t="s">
        <v>236</v>
      </c>
      <c r="C364" s="1" t="s">
        <v>15</v>
      </c>
      <c r="D364">
        <v>0</v>
      </c>
      <c r="E364">
        <v>0</v>
      </c>
      <c r="F364">
        <v>0</v>
      </c>
      <c r="G364">
        <v>0</v>
      </c>
      <c r="H364">
        <v>0</v>
      </c>
      <c r="I364" s="1">
        <v>45405</v>
      </c>
      <c r="J364" s="1">
        <v>45405</v>
      </c>
      <c r="K364" s="1">
        <v>45405</v>
      </c>
      <c r="L364" s="1">
        <v>45405</v>
      </c>
      <c r="M364" s="1">
        <v>45405</v>
      </c>
      <c r="N364" s="5"/>
      <c r="S364" s="6"/>
      <c r="T364" s="5">
        <f t="shared" si="51"/>
        <v>0</v>
      </c>
      <c r="U364" s="10">
        <f t="shared" si="52"/>
        <v>0</v>
      </c>
      <c r="V364" s="10">
        <f t="shared" si="53"/>
        <v>0</v>
      </c>
      <c r="W364" s="10">
        <f t="shared" si="54"/>
        <v>0</v>
      </c>
      <c r="X364" s="6">
        <f t="shared" si="55"/>
        <v>0</v>
      </c>
      <c r="Y364" s="5">
        <f t="shared" si="56"/>
        <v>0</v>
      </c>
      <c r="Z364" s="10">
        <f t="shared" si="57"/>
        <v>0</v>
      </c>
      <c r="AA364" s="10">
        <f t="shared" si="58"/>
        <v>0</v>
      </c>
      <c r="AB364" s="10">
        <f t="shared" si="59"/>
        <v>0</v>
      </c>
      <c r="AC364" s="6">
        <f t="shared" si="60"/>
        <v>0</v>
      </c>
    </row>
    <row r="365" spans="1:29" x14ac:dyDescent="0.25">
      <c r="A365" t="s">
        <v>21</v>
      </c>
      <c r="B365" t="s">
        <v>288</v>
      </c>
      <c r="C365" s="1" t="s">
        <v>15</v>
      </c>
      <c r="D365">
        <v>0</v>
      </c>
      <c r="E365">
        <v>0</v>
      </c>
      <c r="F365">
        <v>0</v>
      </c>
      <c r="G365">
        <v>0</v>
      </c>
      <c r="H365">
        <v>0</v>
      </c>
      <c r="I365" s="1">
        <v>45405</v>
      </c>
      <c r="J365" s="1">
        <v>45405</v>
      </c>
      <c r="K365" s="1">
        <v>45405</v>
      </c>
      <c r="L365" s="1">
        <v>45405</v>
      </c>
      <c r="M365" s="1">
        <v>45405</v>
      </c>
      <c r="N365" s="5"/>
      <c r="S365" s="6"/>
      <c r="T365" s="5">
        <f t="shared" si="51"/>
        <v>0</v>
      </c>
      <c r="U365" s="10">
        <f t="shared" si="52"/>
        <v>0</v>
      </c>
      <c r="V365" s="10">
        <f t="shared" si="53"/>
        <v>0</v>
      </c>
      <c r="W365" s="10">
        <f t="shared" si="54"/>
        <v>0</v>
      </c>
      <c r="X365" s="6">
        <f t="shared" si="55"/>
        <v>0</v>
      </c>
      <c r="Y365" s="5">
        <f t="shared" si="56"/>
        <v>0</v>
      </c>
      <c r="Z365" s="10">
        <f t="shared" si="57"/>
        <v>0</v>
      </c>
      <c r="AA365" s="10">
        <f t="shared" si="58"/>
        <v>0</v>
      </c>
      <c r="AB365" s="10">
        <f t="shared" si="59"/>
        <v>0</v>
      </c>
      <c r="AC365" s="6">
        <f t="shared" si="60"/>
        <v>0</v>
      </c>
    </row>
    <row r="366" spans="1:29" x14ac:dyDescent="0.25">
      <c r="A366" t="s">
        <v>21</v>
      </c>
      <c r="B366" t="s">
        <v>135</v>
      </c>
      <c r="C366" s="1" t="s">
        <v>15</v>
      </c>
      <c r="D366">
        <v>0</v>
      </c>
      <c r="E366">
        <v>0</v>
      </c>
      <c r="F366">
        <v>0</v>
      </c>
      <c r="G366">
        <v>0</v>
      </c>
      <c r="H366">
        <v>0</v>
      </c>
      <c r="I366" s="1">
        <v>45405</v>
      </c>
      <c r="J366" s="1">
        <v>45405</v>
      </c>
      <c r="K366" s="1">
        <v>45405</v>
      </c>
      <c r="L366" s="1">
        <v>45405</v>
      </c>
      <c r="M366" s="1">
        <v>45405</v>
      </c>
      <c r="N366" s="5"/>
      <c r="S366" s="6"/>
      <c r="T366" s="5">
        <f t="shared" si="51"/>
        <v>0</v>
      </c>
      <c r="U366" s="10">
        <f t="shared" si="52"/>
        <v>0</v>
      </c>
      <c r="V366" s="10">
        <f t="shared" si="53"/>
        <v>0</v>
      </c>
      <c r="W366" s="10">
        <f t="shared" si="54"/>
        <v>0</v>
      </c>
      <c r="X366" s="6">
        <f t="shared" si="55"/>
        <v>0</v>
      </c>
      <c r="Y366" s="5">
        <f t="shared" si="56"/>
        <v>0</v>
      </c>
      <c r="Z366" s="10">
        <f t="shared" si="57"/>
        <v>0</v>
      </c>
      <c r="AA366" s="10">
        <f t="shared" si="58"/>
        <v>0</v>
      </c>
      <c r="AB366" s="10">
        <f t="shared" si="59"/>
        <v>0</v>
      </c>
      <c r="AC366" s="6">
        <f t="shared" si="60"/>
        <v>0</v>
      </c>
    </row>
    <row r="367" spans="1:29" x14ac:dyDescent="0.25">
      <c r="A367" t="s">
        <v>21</v>
      </c>
      <c r="B367" t="s">
        <v>43</v>
      </c>
      <c r="C367" s="1" t="s">
        <v>15</v>
      </c>
      <c r="D367">
        <v>0</v>
      </c>
      <c r="E367">
        <v>0</v>
      </c>
      <c r="F367">
        <v>0</v>
      </c>
      <c r="G367">
        <v>0</v>
      </c>
      <c r="H367">
        <v>0</v>
      </c>
      <c r="I367" s="1">
        <v>45405</v>
      </c>
      <c r="J367" s="1">
        <v>45405</v>
      </c>
      <c r="K367" s="1">
        <v>45405</v>
      </c>
      <c r="L367" s="1">
        <v>45405</v>
      </c>
      <c r="M367" s="1">
        <v>45405</v>
      </c>
      <c r="N367" s="5"/>
      <c r="S367" s="6"/>
      <c r="T367" s="5">
        <f t="shared" si="51"/>
        <v>0</v>
      </c>
      <c r="U367" s="10">
        <f t="shared" si="52"/>
        <v>0</v>
      </c>
      <c r="V367" s="10">
        <f t="shared" si="53"/>
        <v>0</v>
      </c>
      <c r="W367" s="10">
        <f t="shared" si="54"/>
        <v>0</v>
      </c>
      <c r="X367" s="6">
        <f t="shared" si="55"/>
        <v>0</v>
      </c>
      <c r="Y367" s="5">
        <f t="shared" si="56"/>
        <v>0</v>
      </c>
      <c r="Z367" s="10">
        <f t="shared" si="57"/>
        <v>0</v>
      </c>
      <c r="AA367" s="10">
        <f t="shared" si="58"/>
        <v>0</v>
      </c>
      <c r="AB367" s="10">
        <f t="shared" si="59"/>
        <v>0</v>
      </c>
      <c r="AC367" s="6">
        <f t="shared" si="60"/>
        <v>0</v>
      </c>
    </row>
    <row r="368" spans="1:29" x14ac:dyDescent="0.25">
      <c r="A368" t="s">
        <v>21</v>
      </c>
      <c r="B368" t="s">
        <v>289</v>
      </c>
      <c r="C368" s="1" t="s">
        <v>15</v>
      </c>
      <c r="D368">
        <v>0</v>
      </c>
      <c r="E368">
        <v>0</v>
      </c>
      <c r="F368">
        <v>0</v>
      </c>
      <c r="G368">
        <v>0</v>
      </c>
      <c r="H368">
        <v>0</v>
      </c>
      <c r="I368" s="1">
        <v>45405</v>
      </c>
      <c r="J368" s="1">
        <v>45405</v>
      </c>
      <c r="K368" s="1">
        <v>45405</v>
      </c>
      <c r="L368" s="1">
        <v>45405</v>
      </c>
      <c r="M368" s="1">
        <v>45405</v>
      </c>
      <c r="N368" s="5"/>
      <c r="S368" s="6"/>
      <c r="T368" s="5">
        <f t="shared" si="51"/>
        <v>0</v>
      </c>
      <c r="U368" s="10">
        <f t="shared" si="52"/>
        <v>0</v>
      </c>
      <c r="V368" s="10">
        <f t="shared" si="53"/>
        <v>0</v>
      </c>
      <c r="W368" s="10">
        <f t="shared" si="54"/>
        <v>0</v>
      </c>
      <c r="X368" s="6">
        <f t="shared" si="55"/>
        <v>0</v>
      </c>
      <c r="Y368" s="5">
        <f t="shared" si="56"/>
        <v>0</v>
      </c>
      <c r="Z368" s="10">
        <f t="shared" si="57"/>
        <v>0</v>
      </c>
      <c r="AA368" s="10">
        <f t="shared" si="58"/>
        <v>0</v>
      </c>
      <c r="AB368" s="10">
        <f t="shared" si="59"/>
        <v>0</v>
      </c>
      <c r="AC368" s="6">
        <f t="shared" si="60"/>
        <v>0</v>
      </c>
    </row>
    <row r="369" spans="1:29" x14ac:dyDescent="0.25">
      <c r="A369" t="s">
        <v>21</v>
      </c>
      <c r="B369" t="s">
        <v>280</v>
      </c>
      <c r="C369" s="1" t="s">
        <v>15</v>
      </c>
      <c r="D369">
        <v>0</v>
      </c>
      <c r="E369">
        <v>0</v>
      </c>
      <c r="F369">
        <v>0</v>
      </c>
      <c r="G369">
        <v>0</v>
      </c>
      <c r="H369">
        <v>0</v>
      </c>
      <c r="I369" s="1">
        <v>45405</v>
      </c>
      <c r="J369" s="1">
        <v>45405</v>
      </c>
      <c r="K369" s="1">
        <v>45405</v>
      </c>
      <c r="L369" s="1">
        <v>45405</v>
      </c>
      <c r="M369" s="1">
        <v>45405</v>
      </c>
      <c r="N369" s="5"/>
      <c r="S369" s="6"/>
      <c r="T369" s="5">
        <f t="shared" si="51"/>
        <v>0</v>
      </c>
      <c r="U369" s="10">
        <f t="shared" si="52"/>
        <v>0</v>
      </c>
      <c r="V369" s="10">
        <f t="shared" si="53"/>
        <v>0</v>
      </c>
      <c r="W369" s="10">
        <f t="shared" si="54"/>
        <v>0</v>
      </c>
      <c r="X369" s="6">
        <f t="shared" si="55"/>
        <v>0</v>
      </c>
      <c r="Y369" s="5">
        <f t="shared" si="56"/>
        <v>0</v>
      </c>
      <c r="Z369" s="10">
        <f t="shared" si="57"/>
        <v>0</v>
      </c>
      <c r="AA369" s="10">
        <f t="shared" si="58"/>
        <v>0</v>
      </c>
      <c r="AB369" s="10">
        <f t="shared" si="59"/>
        <v>0</v>
      </c>
      <c r="AC369" s="6">
        <f t="shared" si="60"/>
        <v>0</v>
      </c>
    </row>
    <row r="370" spans="1:29" x14ac:dyDescent="0.25">
      <c r="A370" t="s">
        <v>21</v>
      </c>
      <c r="B370" t="s">
        <v>96</v>
      </c>
      <c r="C370" s="1" t="s">
        <v>15</v>
      </c>
      <c r="D370">
        <v>0</v>
      </c>
      <c r="E370">
        <v>0</v>
      </c>
      <c r="F370">
        <v>0</v>
      </c>
      <c r="G370">
        <v>0</v>
      </c>
      <c r="H370">
        <v>0</v>
      </c>
      <c r="I370" s="1">
        <v>45405</v>
      </c>
      <c r="J370" s="1">
        <v>45405</v>
      </c>
      <c r="K370" s="1">
        <v>45405</v>
      </c>
      <c r="L370" s="1">
        <v>45405</v>
      </c>
      <c r="M370" s="1">
        <v>45405</v>
      </c>
      <c r="N370" s="5"/>
      <c r="S370" s="6"/>
      <c r="T370" s="5">
        <f t="shared" si="51"/>
        <v>0</v>
      </c>
      <c r="U370" s="10">
        <f t="shared" si="52"/>
        <v>0</v>
      </c>
      <c r="V370" s="10">
        <f t="shared" si="53"/>
        <v>0</v>
      </c>
      <c r="W370" s="10">
        <f t="shared" si="54"/>
        <v>0</v>
      </c>
      <c r="X370" s="6">
        <f t="shared" si="55"/>
        <v>0</v>
      </c>
      <c r="Y370" s="5">
        <f t="shared" si="56"/>
        <v>0</v>
      </c>
      <c r="Z370" s="10">
        <f t="shared" si="57"/>
        <v>0</v>
      </c>
      <c r="AA370" s="10">
        <f t="shared" si="58"/>
        <v>0</v>
      </c>
      <c r="AB370" s="10">
        <f t="shared" si="59"/>
        <v>0</v>
      </c>
      <c r="AC370" s="6">
        <f t="shared" si="60"/>
        <v>0</v>
      </c>
    </row>
    <row r="371" spans="1:29" x14ac:dyDescent="0.25">
      <c r="A371" t="s">
        <v>21</v>
      </c>
      <c r="B371" t="s">
        <v>96</v>
      </c>
      <c r="C371" s="1" t="s">
        <v>15</v>
      </c>
      <c r="D371">
        <v>0</v>
      </c>
      <c r="E371">
        <v>0</v>
      </c>
      <c r="F371">
        <v>0</v>
      </c>
      <c r="G371">
        <v>0</v>
      </c>
      <c r="H371">
        <v>0</v>
      </c>
      <c r="I371" s="1">
        <v>45405</v>
      </c>
      <c r="J371" s="1">
        <v>45405</v>
      </c>
      <c r="K371" s="1">
        <v>45405</v>
      </c>
      <c r="L371" s="1">
        <v>45405</v>
      </c>
      <c r="M371" s="1">
        <v>45405</v>
      </c>
      <c r="N371" s="5"/>
      <c r="S371" s="6"/>
      <c r="T371" s="5">
        <f t="shared" si="51"/>
        <v>0</v>
      </c>
      <c r="U371" s="10">
        <f t="shared" si="52"/>
        <v>0</v>
      </c>
      <c r="V371" s="10">
        <f t="shared" si="53"/>
        <v>0</v>
      </c>
      <c r="W371" s="10">
        <f t="shared" si="54"/>
        <v>0</v>
      </c>
      <c r="X371" s="6">
        <f t="shared" si="55"/>
        <v>0</v>
      </c>
      <c r="Y371" s="5">
        <f t="shared" si="56"/>
        <v>0</v>
      </c>
      <c r="Z371" s="10">
        <f t="shared" si="57"/>
        <v>0</v>
      </c>
      <c r="AA371" s="10">
        <f t="shared" si="58"/>
        <v>0</v>
      </c>
      <c r="AB371" s="10">
        <f t="shared" si="59"/>
        <v>0</v>
      </c>
      <c r="AC371" s="6">
        <f t="shared" si="60"/>
        <v>0</v>
      </c>
    </row>
    <row r="372" spans="1:29" x14ac:dyDescent="0.25">
      <c r="A372" t="s">
        <v>21</v>
      </c>
      <c r="B372" t="s">
        <v>28</v>
      </c>
      <c r="C372" s="1" t="s">
        <v>15</v>
      </c>
      <c r="D372">
        <v>0</v>
      </c>
      <c r="E372">
        <v>0</v>
      </c>
      <c r="F372">
        <v>0</v>
      </c>
      <c r="G372">
        <v>0</v>
      </c>
      <c r="H372">
        <v>0</v>
      </c>
      <c r="I372" s="1">
        <v>45405</v>
      </c>
      <c r="J372" s="1">
        <v>45405</v>
      </c>
      <c r="K372" s="1">
        <v>45405</v>
      </c>
      <c r="L372" s="1">
        <v>45405</v>
      </c>
      <c r="M372" s="1">
        <v>45405</v>
      </c>
      <c r="N372" s="5"/>
      <c r="S372" s="6"/>
      <c r="T372" s="5">
        <f t="shared" si="51"/>
        <v>0</v>
      </c>
      <c r="U372" s="10">
        <f t="shared" si="52"/>
        <v>0</v>
      </c>
      <c r="V372" s="10">
        <f t="shared" si="53"/>
        <v>0</v>
      </c>
      <c r="W372" s="10">
        <f t="shared" si="54"/>
        <v>0</v>
      </c>
      <c r="X372" s="6">
        <f t="shared" si="55"/>
        <v>0</v>
      </c>
      <c r="Y372" s="5">
        <f t="shared" si="56"/>
        <v>0</v>
      </c>
      <c r="Z372" s="10">
        <f t="shared" si="57"/>
        <v>0</v>
      </c>
      <c r="AA372" s="10">
        <f t="shared" si="58"/>
        <v>0</v>
      </c>
      <c r="AB372" s="10">
        <f t="shared" si="59"/>
        <v>0</v>
      </c>
      <c r="AC372" s="6">
        <f t="shared" si="60"/>
        <v>0</v>
      </c>
    </row>
    <row r="373" spans="1:29" x14ac:dyDescent="0.25">
      <c r="A373" t="s">
        <v>21</v>
      </c>
      <c r="B373" t="s">
        <v>252</v>
      </c>
      <c r="C373" s="1" t="s">
        <v>15</v>
      </c>
      <c r="D373">
        <v>0</v>
      </c>
      <c r="E373">
        <v>0</v>
      </c>
      <c r="F373">
        <v>0</v>
      </c>
      <c r="G373">
        <v>0</v>
      </c>
      <c r="H373">
        <v>0</v>
      </c>
      <c r="I373" s="1">
        <v>45405</v>
      </c>
      <c r="J373" s="1">
        <v>45405</v>
      </c>
      <c r="K373" s="1">
        <v>45405</v>
      </c>
      <c r="L373" s="1">
        <v>45405</v>
      </c>
      <c r="M373" s="1">
        <v>45405</v>
      </c>
      <c r="N373" s="5"/>
      <c r="S373" s="6"/>
      <c r="T373" s="5">
        <f t="shared" si="51"/>
        <v>0</v>
      </c>
      <c r="U373" s="10">
        <f t="shared" si="52"/>
        <v>0</v>
      </c>
      <c r="V373" s="10">
        <f t="shared" si="53"/>
        <v>0</v>
      </c>
      <c r="W373" s="10">
        <f t="shared" si="54"/>
        <v>0</v>
      </c>
      <c r="X373" s="6">
        <f t="shared" si="55"/>
        <v>0</v>
      </c>
      <c r="Y373" s="5">
        <f t="shared" si="56"/>
        <v>0</v>
      </c>
      <c r="Z373" s="10">
        <f t="shared" si="57"/>
        <v>0</v>
      </c>
      <c r="AA373" s="10">
        <f t="shared" si="58"/>
        <v>0</v>
      </c>
      <c r="AB373" s="10">
        <f t="shared" si="59"/>
        <v>0</v>
      </c>
      <c r="AC373" s="6">
        <f t="shared" si="60"/>
        <v>0</v>
      </c>
    </row>
    <row r="374" spans="1:29" x14ac:dyDescent="0.25">
      <c r="A374" t="s">
        <v>21</v>
      </c>
      <c r="B374" t="s">
        <v>278</v>
      </c>
      <c r="C374" s="1" t="s">
        <v>15</v>
      </c>
      <c r="D374">
        <v>37</v>
      </c>
      <c r="E374">
        <v>0</v>
      </c>
      <c r="F374">
        <v>0</v>
      </c>
      <c r="G374">
        <v>0</v>
      </c>
      <c r="H374">
        <v>38</v>
      </c>
      <c r="I374" s="1">
        <v>45442</v>
      </c>
      <c r="J374" s="1">
        <v>45405</v>
      </c>
      <c r="K374" s="1">
        <v>45405</v>
      </c>
      <c r="L374" s="1">
        <v>45405</v>
      </c>
      <c r="M374" s="1">
        <v>45443</v>
      </c>
      <c r="N374" s="5">
        <v>24.993031149279279</v>
      </c>
      <c r="O374">
        <v>25.566378383623281</v>
      </c>
      <c r="S374" s="6">
        <v>25.536464893885402</v>
      </c>
      <c r="T374" s="5">
        <f t="shared" si="51"/>
        <v>2.294028407036719</v>
      </c>
      <c r="U374" s="10">
        <f t="shared" si="52"/>
        <v>0</v>
      </c>
      <c r="V374" s="10">
        <f t="shared" si="53"/>
        <v>0</v>
      </c>
      <c r="W374" s="10">
        <f t="shared" si="54"/>
        <v>0</v>
      </c>
      <c r="X374" s="6">
        <f t="shared" si="55"/>
        <v>2.1743410847619105</v>
      </c>
      <c r="Y374" s="5">
        <f t="shared" si="56"/>
        <v>22.940284070367188</v>
      </c>
      <c r="Z374" s="10">
        <f t="shared" si="57"/>
        <v>0</v>
      </c>
      <c r="AA374" s="10">
        <f t="shared" si="58"/>
        <v>0</v>
      </c>
      <c r="AB374" s="10">
        <f t="shared" si="59"/>
        <v>0</v>
      </c>
      <c r="AC374" s="6">
        <f t="shared" si="60"/>
        <v>21.743410847619106</v>
      </c>
    </row>
    <row r="375" spans="1:29" x14ac:dyDescent="0.25">
      <c r="A375" t="s">
        <v>21</v>
      </c>
      <c r="B375" t="s">
        <v>96</v>
      </c>
      <c r="C375" s="1" t="s">
        <v>15</v>
      </c>
      <c r="D375">
        <v>0</v>
      </c>
      <c r="E375">
        <v>0</v>
      </c>
      <c r="F375">
        <v>0</v>
      </c>
      <c r="G375">
        <v>0</v>
      </c>
      <c r="H375">
        <v>0</v>
      </c>
      <c r="I375" s="1">
        <v>45405</v>
      </c>
      <c r="J375" s="1">
        <v>45405</v>
      </c>
      <c r="K375" s="1">
        <v>45405</v>
      </c>
      <c r="L375" s="1">
        <v>45405</v>
      </c>
      <c r="M375" s="1">
        <v>45405</v>
      </c>
      <c r="N375" s="5"/>
      <c r="S375" s="6"/>
      <c r="T375" s="5">
        <f t="shared" si="51"/>
        <v>0</v>
      </c>
      <c r="U375" s="10">
        <f t="shared" si="52"/>
        <v>0</v>
      </c>
      <c r="V375" s="10">
        <f t="shared" si="53"/>
        <v>0</v>
      </c>
      <c r="W375" s="10">
        <f t="shared" si="54"/>
        <v>0</v>
      </c>
      <c r="X375" s="6">
        <f t="shared" si="55"/>
        <v>0</v>
      </c>
      <c r="Y375" s="5">
        <f t="shared" si="56"/>
        <v>0</v>
      </c>
      <c r="Z375" s="10">
        <f t="shared" si="57"/>
        <v>0</v>
      </c>
      <c r="AA375" s="10">
        <f t="shared" si="58"/>
        <v>0</v>
      </c>
      <c r="AB375" s="10">
        <f t="shared" si="59"/>
        <v>0</v>
      </c>
      <c r="AC375" s="6">
        <f t="shared" si="60"/>
        <v>0</v>
      </c>
    </row>
    <row r="376" spans="1:29" x14ac:dyDescent="0.25">
      <c r="A376" t="s">
        <v>21</v>
      </c>
      <c r="B376" t="s">
        <v>96</v>
      </c>
      <c r="C376" s="1" t="s">
        <v>15</v>
      </c>
      <c r="D376">
        <v>0</v>
      </c>
      <c r="E376">
        <v>0</v>
      </c>
      <c r="F376">
        <v>0</v>
      </c>
      <c r="G376">
        <v>0</v>
      </c>
      <c r="H376">
        <v>0</v>
      </c>
      <c r="I376" s="1">
        <v>45405</v>
      </c>
      <c r="J376" s="1">
        <v>45405</v>
      </c>
      <c r="K376" s="1">
        <v>45405</v>
      </c>
      <c r="L376" s="1">
        <v>45405</v>
      </c>
      <c r="M376" s="1">
        <v>45405</v>
      </c>
      <c r="N376" s="5"/>
      <c r="S376" s="6"/>
      <c r="T376" s="5">
        <f t="shared" si="51"/>
        <v>0</v>
      </c>
      <c r="U376" s="10">
        <f t="shared" si="52"/>
        <v>0</v>
      </c>
      <c r="V376" s="10">
        <f t="shared" si="53"/>
        <v>0</v>
      </c>
      <c r="W376" s="10">
        <f t="shared" si="54"/>
        <v>0</v>
      </c>
      <c r="X376" s="6">
        <f t="shared" si="55"/>
        <v>0</v>
      </c>
      <c r="Y376" s="5">
        <f t="shared" si="56"/>
        <v>0</v>
      </c>
      <c r="Z376" s="10">
        <f t="shared" si="57"/>
        <v>0</v>
      </c>
      <c r="AA376" s="10">
        <f t="shared" si="58"/>
        <v>0</v>
      </c>
      <c r="AB376" s="10">
        <f t="shared" si="59"/>
        <v>0</v>
      </c>
      <c r="AC376" s="6">
        <f t="shared" si="60"/>
        <v>0</v>
      </c>
    </row>
    <row r="377" spans="1:29" x14ac:dyDescent="0.25">
      <c r="A377" t="s">
        <v>21</v>
      </c>
      <c r="B377" t="s">
        <v>279</v>
      </c>
      <c r="C377" s="1" t="s">
        <v>15</v>
      </c>
      <c r="D377">
        <v>0</v>
      </c>
      <c r="E377">
        <v>0</v>
      </c>
      <c r="F377">
        <v>0</v>
      </c>
      <c r="G377">
        <v>0</v>
      </c>
      <c r="H377">
        <v>0</v>
      </c>
      <c r="I377" s="1">
        <v>45405</v>
      </c>
      <c r="J377" s="1">
        <v>45405</v>
      </c>
      <c r="K377" s="1">
        <v>45405</v>
      </c>
      <c r="L377" s="1">
        <v>45405</v>
      </c>
      <c r="M377" s="1">
        <v>45405</v>
      </c>
      <c r="N377" s="5"/>
      <c r="S377" s="6"/>
      <c r="T377" s="5">
        <f t="shared" si="51"/>
        <v>0</v>
      </c>
      <c r="U377" s="10">
        <f t="shared" si="52"/>
        <v>0</v>
      </c>
      <c r="V377" s="10">
        <f t="shared" si="53"/>
        <v>0</v>
      </c>
      <c r="W377" s="10">
        <f t="shared" si="54"/>
        <v>0</v>
      </c>
      <c r="X377" s="6">
        <f t="shared" si="55"/>
        <v>0</v>
      </c>
      <c r="Y377" s="5">
        <f t="shared" si="56"/>
        <v>0</v>
      </c>
      <c r="Z377" s="10">
        <f t="shared" si="57"/>
        <v>0</v>
      </c>
      <c r="AA377" s="10">
        <f t="shared" si="58"/>
        <v>0</v>
      </c>
      <c r="AB377" s="10">
        <f t="shared" si="59"/>
        <v>0</v>
      </c>
      <c r="AC377" s="6">
        <f t="shared" si="60"/>
        <v>0</v>
      </c>
    </row>
    <row r="378" spans="1:29" x14ac:dyDescent="0.25">
      <c r="A378" t="s">
        <v>21</v>
      </c>
      <c r="B378" t="s">
        <v>279</v>
      </c>
      <c r="C378" s="1" t="s">
        <v>15</v>
      </c>
      <c r="D378">
        <v>0</v>
      </c>
      <c r="E378">
        <v>0</v>
      </c>
      <c r="F378">
        <v>0</v>
      </c>
      <c r="G378">
        <v>0</v>
      </c>
      <c r="H378">
        <v>0</v>
      </c>
      <c r="I378" s="1">
        <v>45405</v>
      </c>
      <c r="J378" s="1">
        <v>45405</v>
      </c>
      <c r="K378" s="1">
        <v>45405</v>
      </c>
      <c r="L378" s="1">
        <v>45405</v>
      </c>
      <c r="M378" s="1">
        <v>45405</v>
      </c>
      <c r="N378" s="5"/>
      <c r="S378" s="6"/>
      <c r="T378" s="5">
        <f t="shared" si="51"/>
        <v>0</v>
      </c>
      <c r="U378" s="10">
        <f t="shared" si="52"/>
        <v>0</v>
      </c>
      <c r="V378" s="10">
        <f t="shared" si="53"/>
        <v>0</v>
      </c>
      <c r="W378" s="10">
        <f t="shared" si="54"/>
        <v>0</v>
      </c>
      <c r="X378" s="6">
        <f t="shared" si="55"/>
        <v>0</v>
      </c>
      <c r="Y378" s="5">
        <f t="shared" si="56"/>
        <v>0</v>
      </c>
      <c r="Z378" s="10">
        <f t="shared" si="57"/>
        <v>0</v>
      </c>
      <c r="AA378" s="10">
        <f t="shared" si="58"/>
        <v>0</v>
      </c>
      <c r="AB378" s="10">
        <f t="shared" si="59"/>
        <v>0</v>
      </c>
      <c r="AC378" s="6">
        <f t="shared" si="60"/>
        <v>0</v>
      </c>
    </row>
    <row r="379" spans="1:29" x14ac:dyDescent="0.25">
      <c r="A379" t="s">
        <v>21</v>
      </c>
      <c r="B379" t="s">
        <v>279</v>
      </c>
      <c r="C379" s="1" t="s">
        <v>15</v>
      </c>
      <c r="D379">
        <v>0</v>
      </c>
      <c r="E379">
        <v>0</v>
      </c>
      <c r="F379">
        <v>0</v>
      </c>
      <c r="G379">
        <v>0</v>
      </c>
      <c r="H379">
        <v>0</v>
      </c>
      <c r="I379" s="1">
        <v>45405</v>
      </c>
      <c r="J379" s="1">
        <v>45405</v>
      </c>
      <c r="K379" s="1">
        <v>45405</v>
      </c>
      <c r="L379" s="1">
        <v>45405</v>
      </c>
      <c r="M379" s="1">
        <v>45405</v>
      </c>
      <c r="N379" s="5"/>
      <c r="S379" s="6"/>
      <c r="T379" s="5">
        <f t="shared" si="51"/>
        <v>0</v>
      </c>
      <c r="U379" s="10">
        <f t="shared" si="52"/>
        <v>0</v>
      </c>
      <c r="V379" s="10">
        <f t="shared" si="53"/>
        <v>0</v>
      </c>
      <c r="W379" s="10">
        <f t="shared" si="54"/>
        <v>0</v>
      </c>
      <c r="X379" s="6">
        <f t="shared" si="55"/>
        <v>0</v>
      </c>
      <c r="Y379" s="5">
        <f t="shared" si="56"/>
        <v>0</v>
      </c>
      <c r="Z379" s="10">
        <f t="shared" si="57"/>
        <v>0</v>
      </c>
      <c r="AA379" s="10">
        <f t="shared" si="58"/>
        <v>0</v>
      </c>
      <c r="AB379" s="10">
        <f t="shared" si="59"/>
        <v>0</v>
      </c>
      <c r="AC379" s="6">
        <f t="shared" si="60"/>
        <v>0</v>
      </c>
    </row>
    <row r="380" spans="1:29" x14ac:dyDescent="0.25">
      <c r="A380" t="s">
        <v>21</v>
      </c>
      <c r="B380" t="s">
        <v>279</v>
      </c>
      <c r="C380" s="1" t="s">
        <v>15</v>
      </c>
      <c r="D380">
        <v>0</v>
      </c>
      <c r="E380">
        <v>0</v>
      </c>
      <c r="F380">
        <v>0</v>
      </c>
      <c r="G380">
        <v>0</v>
      </c>
      <c r="H380">
        <v>0</v>
      </c>
      <c r="I380" s="1">
        <v>45405</v>
      </c>
      <c r="J380" s="1">
        <v>45405</v>
      </c>
      <c r="K380" s="1">
        <v>45405</v>
      </c>
      <c r="L380" s="1">
        <v>45405</v>
      </c>
      <c r="M380" s="1">
        <v>45405</v>
      </c>
      <c r="N380" s="5"/>
      <c r="S380" s="6"/>
      <c r="T380" s="5">
        <f t="shared" si="51"/>
        <v>0</v>
      </c>
      <c r="U380" s="10">
        <f t="shared" si="52"/>
        <v>0</v>
      </c>
      <c r="V380" s="10">
        <f t="shared" si="53"/>
        <v>0</v>
      </c>
      <c r="W380" s="10">
        <f t="shared" si="54"/>
        <v>0</v>
      </c>
      <c r="X380" s="6">
        <f t="shared" si="55"/>
        <v>0</v>
      </c>
      <c r="Y380" s="5">
        <f t="shared" si="56"/>
        <v>0</v>
      </c>
      <c r="Z380" s="10">
        <f t="shared" si="57"/>
        <v>0</v>
      </c>
      <c r="AA380" s="10">
        <f t="shared" si="58"/>
        <v>0</v>
      </c>
      <c r="AB380" s="10">
        <f t="shared" si="59"/>
        <v>0</v>
      </c>
      <c r="AC380" s="6">
        <f t="shared" si="60"/>
        <v>0</v>
      </c>
    </row>
    <row r="381" spans="1:29" x14ac:dyDescent="0.25">
      <c r="A381" t="s">
        <v>21</v>
      </c>
      <c r="B381" t="s">
        <v>280</v>
      </c>
      <c r="C381" s="1" t="s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 s="1">
        <v>45405</v>
      </c>
      <c r="J381" s="1">
        <v>45405</v>
      </c>
      <c r="K381" s="1">
        <v>45405</v>
      </c>
      <c r="L381" s="1">
        <v>45405</v>
      </c>
      <c r="M381" s="1">
        <v>45405</v>
      </c>
      <c r="N381" s="5"/>
      <c r="S381" s="6"/>
      <c r="T381" s="5">
        <f t="shared" si="51"/>
        <v>0</v>
      </c>
      <c r="U381" s="10">
        <f t="shared" si="52"/>
        <v>0</v>
      </c>
      <c r="V381" s="10">
        <f t="shared" si="53"/>
        <v>0</v>
      </c>
      <c r="W381" s="10">
        <f t="shared" si="54"/>
        <v>0</v>
      </c>
      <c r="X381" s="6">
        <f t="shared" si="55"/>
        <v>0</v>
      </c>
      <c r="Y381" s="5">
        <f t="shared" si="56"/>
        <v>0</v>
      </c>
      <c r="Z381" s="10">
        <f t="shared" si="57"/>
        <v>0</v>
      </c>
      <c r="AA381" s="10">
        <f t="shared" si="58"/>
        <v>0</v>
      </c>
      <c r="AB381" s="10">
        <f t="shared" si="59"/>
        <v>0</v>
      </c>
      <c r="AC381" s="6">
        <f t="shared" si="60"/>
        <v>0</v>
      </c>
    </row>
    <row r="382" spans="1:29" x14ac:dyDescent="0.25">
      <c r="A382" t="s">
        <v>21</v>
      </c>
      <c r="B382" t="s">
        <v>280</v>
      </c>
      <c r="C382" s="1" t="s">
        <v>15</v>
      </c>
      <c r="D382">
        <v>0</v>
      </c>
      <c r="E382">
        <v>0</v>
      </c>
      <c r="F382">
        <v>0</v>
      </c>
      <c r="G382">
        <v>0</v>
      </c>
      <c r="H382">
        <v>0</v>
      </c>
      <c r="I382" s="1">
        <v>45405</v>
      </c>
      <c r="J382" s="1">
        <v>45405</v>
      </c>
      <c r="K382" s="1">
        <v>45405</v>
      </c>
      <c r="L382" s="1">
        <v>45405</v>
      </c>
      <c r="M382" s="1">
        <v>45405</v>
      </c>
      <c r="N382" s="5"/>
      <c r="S382" s="6"/>
      <c r="T382" s="5">
        <f t="shared" si="51"/>
        <v>0</v>
      </c>
      <c r="U382" s="10">
        <f t="shared" si="52"/>
        <v>0</v>
      </c>
      <c r="V382" s="10">
        <f t="shared" si="53"/>
        <v>0</v>
      </c>
      <c r="W382" s="10">
        <f t="shared" si="54"/>
        <v>0</v>
      </c>
      <c r="X382" s="6">
        <f t="shared" si="55"/>
        <v>0</v>
      </c>
      <c r="Y382" s="5">
        <f t="shared" si="56"/>
        <v>0</v>
      </c>
      <c r="Z382" s="10">
        <f t="shared" si="57"/>
        <v>0</v>
      </c>
      <c r="AA382" s="10">
        <f t="shared" si="58"/>
        <v>0</v>
      </c>
      <c r="AB382" s="10">
        <f t="shared" si="59"/>
        <v>0</v>
      </c>
      <c r="AC382" s="6">
        <f t="shared" si="60"/>
        <v>0</v>
      </c>
    </row>
    <row r="383" spans="1:29" x14ac:dyDescent="0.25">
      <c r="A383" t="s">
        <v>21</v>
      </c>
      <c r="B383" t="s">
        <v>177</v>
      </c>
      <c r="C383" s="1" t="s">
        <v>15</v>
      </c>
      <c r="D383">
        <v>0</v>
      </c>
      <c r="E383">
        <v>0</v>
      </c>
      <c r="F383">
        <v>0</v>
      </c>
      <c r="G383">
        <v>0</v>
      </c>
      <c r="H383">
        <v>36</v>
      </c>
      <c r="I383" s="1">
        <v>45405</v>
      </c>
      <c r="J383" s="1">
        <v>45405</v>
      </c>
      <c r="K383" s="1">
        <v>45405</v>
      </c>
      <c r="L383" s="1">
        <v>45405</v>
      </c>
      <c r="M383" s="1">
        <v>45441</v>
      </c>
      <c r="N383" s="5">
        <v>61.592498779296882</v>
      </c>
      <c r="S383" s="6">
        <v>78</v>
      </c>
      <c r="T383" s="5">
        <f t="shared" si="51"/>
        <v>0</v>
      </c>
      <c r="U383" s="10">
        <f t="shared" si="52"/>
        <v>0</v>
      </c>
      <c r="V383" s="10">
        <f t="shared" si="53"/>
        <v>0</v>
      </c>
      <c r="W383" s="10">
        <f t="shared" si="54"/>
        <v>0</v>
      </c>
      <c r="X383" s="6">
        <f t="shared" si="55"/>
        <v>26.638797817727401</v>
      </c>
      <c r="Y383" s="5">
        <f t="shared" si="56"/>
        <v>0</v>
      </c>
      <c r="Z383" s="10">
        <f t="shared" si="57"/>
        <v>0</v>
      </c>
      <c r="AA383" s="10">
        <f t="shared" si="58"/>
        <v>0</v>
      </c>
      <c r="AB383" s="10">
        <f t="shared" si="59"/>
        <v>0</v>
      </c>
      <c r="AC383" s="6">
        <f t="shared" si="60"/>
        <v>266.38797817727402</v>
      </c>
    </row>
    <row r="384" spans="1:29" x14ac:dyDescent="0.25">
      <c r="A384" t="s">
        <v>21</v>
      </c>
      <c r="B384" t="s">
        <v>290</v>
      </c>
      <c r="C384" s="1" t="s">
        <v>15</v>
      </c>
      <c r="D384">
        <v>0</v>
      </c>
      <c r="E384">
        <v>0</v>
      </c>
      <c r="F384">
        <v>0</v>
      </c>
      <c r="G384">
        <v>0</v>
      </c>
      <c r="H384">
        <v>0</v>
      </c>
      <c r="I384" s="1">
        <v>45405</v>
      </c>
      <c r="J384" s="1">
        <v>45405</v>
      </c>
      <c r="K384" s="1">
        <v>45405</v>
      </c>
      <c r="L384" s="1">
        <v>45405</v>
      </c>
      <c r="M384" s="1">
        <v>45405</v>
      </c>
      <c r="N384" s="5"/>
      <c r="S384" s="6"/>
      <c r="T384" s="5">
        <f t="shared" si="51"/>
        <v>0</v>
      </c>
      <c r="U384" s="10">
        <f t="shared" si="52"/>
        <v>0</v>
      </c>
      <c r="V384" s="10">
        <f t="shared" si="53"/>
        <v>0</v>
      </c>
      <c r="W384" s="10">
        <f t="shared" si="54"/>
        <v>0</v>
      </c>
      <c r="X384" s="6">
        <f t="shared" si="55"/>
        <v>0</v>
      </c>
      <c r="Y384" s="5">
        <f t="shared" si="56"/>
        <v>0</v>
      </c>
      <c r="Z384" s="10">
        <f t="shared" si="57"/>
        <v>0</v>
      </c>
      <c r="AA384" s="10">
        <f t="shared" si="58"/>
        <v>0</v>
      </c>
      <c r="AB384" s="10">
        <f t="shared" si="59"/>
        <v>0</v>
      </c>
      <c r="AC384" s="6">
        <f t="shared" si="60"/>
        <v>0</v>
      </c>
    </row>
    <row r="385" spans="1:29" x14ac:dyDescent="0.25">
      <c r="A385" t="s">
        <v>21</v>
      </c>
      <c r="B385" t="s">
        <v>41</v>
      </c>
      <c r="C385" s="1" t="s">
        <v>15</v>
      </c>
      <c r="D385">
        <v>0</v>
      </c>
      <c r="E385">
        <v>0</v>
      </c>
      <c r="F385">
        <v>0</v>
      </c>
      <c r="G385">
        <v>0</v>
      </c>
      <c r="H385">
        <v>0</v>
      </c>
      <c r="I385" s="1">
        <v>45405</v>
      </c>
      <c r="J385" s="1">
        <v>45405</v>
      </c>
      <c r="K385" s="1">
        <v>45405</v>
      </c>
      <c r="L385" s="1">
        <v>45405</v>
      </c>
      <c r="M385" s="1">
        <v>45405</v>
      </c>
      <c r="N385" s="5"/>
      <c r="S385" s="6"/>
      <c r="T385" s="5">
        <f t="shared" si="51"/>
        <v>0</v>
      </c>
      <c r="U385" s="10">
        <f t="shared" si="52"/>
        <v>0</v>
      </c>
      <c r="V385" s="10">
        <f t="shared" si="53"/>
        <v>0</v>
      </c>
      <c r="W385" s="10">
        <f t="shared" si="54"/>
        <v>0</v>
      </c>
      <c r="X385" s="6">
        <f t="shared" si="55"/>
        <v>0</v>
      </c>
      <c r="Y385" s="5">
        <f t="shared" si="56"/>
        <v>0</v>
      </c>
      <c r="Z385" s="10">
        <f t="shared" si="57"/>
        <v>0</v>
      </c>
      <c r="AA385" s="10">
        <f t="shared" si="58"/>
        <v>0</v>
      </c>
      <c r="AB385" s="10">
        <f t="shared" si="59"/>
        <v>0</v>
      </c>
      <c r="AC385" s="6">
        <f t="shared" si="60"/>
        <v>0</v>
      </c>
    </row>
    <row r="386" spans="1:29" x14ac:dyDescent="0.25">
      <c r="A386" t="s">
        <v>21</v>
      </c>
      <c r="B386" t="s">
        <v>282</v>
      </c>
      <c r="C386" s="1" t="s">
        <v>15</v>
      </c>
      <c r="D386">
        <v>0</v>
      </c>
      <c r="E386">
        <v>0</v>
      </c>
      <c r="F386">
        <v>0</v>
      </c>
      <c r="G386">
        <v>0</v>
      </c>
      <c r="H386">
        <v>0</v>
      </c>
      <c r="I386" s="1">
        <v>45405</v>
      </c>
      <c r="J386" s="1">
        <v>45405</v>
      </c>
      <c r="K386" s="1">
        <v>45405</v>
      </c>
      <c r="L386" s="1">
        <v>45405</v>
      </c>
      <c r="M386" s="1">
        <v>45405</v>
      </c>
      <c r="N386" s="5"/>
      <c r="S386" s="6"/>
      <c r="T386" s="5">
        <f t="shared" ref="T386:T449" si="61">IF((ISBLANK(O386)),0,((O386/$N386)-1)*100)</f>
        <v>0</v>
      </c>
      <c r="U386" s="10">
        <f t="shared" ref="U386:U449" si="62">IF((ISBLANK(P386)),0,((P386/$N386)-1)*100)</f>
        <v>0</v>
      </c>
      <c r="V386" s="10">
        <f t="shared" ref="V386:V449" si="63">IF((ISBLANK(Q386)),0,((Q386/$N386)-1)*100)</f>
        <v>0</v>
      </c>
      <c r="W386" s="10">
        <f t="shared" ref="W386:W449" si="64">IF((ISBLANK(R386)),0,((R386/$N386)-1)*100)</f>
        <v>0</v>
      </c>
      <c r="X386" s="6">
        <f t="shared" ref="X386:X449" si="65">IF((ISBLANK(S386)),0,((S386/$N386)-1)*100)</f>
        <v>0</v>
      </c>
      <c r="Y386" s="5">
        <f t="shared" si="56"/>
        <v>0</v>
      </c>
      <c r="Z386" s="10">
        <f t="shared" si="57"/>
        <v>0</v>
      </c>
      <c r="AA386" s="10">
        <f t="shared" si="58"/>
        <v>0</v>
      </c>
      <c r="AB386" s="10">
        <f t="shared" si="59"/>
        <v>0</v>
      </c>
      <c r="AC386" s="6">
        <f t="shared" si="60"/>
        <v>0</v>
      </c>
    </row>
    <row r="387" spans="1:29" x14ac:dyDescent="0.25">
      <c r="A387" t="s">
        <v>21</v>
      </c>
      <c r="B387" t="s">
        <v>194</v>
      </c>
      <c r="C387" s="1" t="s">
        <v>15</v>
      </c>
      <c r="D387">
        <v>0</v>
      </c>
      <c r="E387">
        <v>0</v>
      </c>
      <c r="F387">
        <v>0</v>
      </c>
      <c r="G387">
        <v>0</v>
      </c>
      <c r="H387">
        <v>0</v>
      </c>
      <c r="I387" s="1">
        <v>45405</v>
      </c>
      <c r="J387" s="1">
        <v>45405</v>
      </c>
      <c r="K387" s="1">
        <v>45405</v>
      </c>
      <c r="L387" s="1">
        <v>45405</v>
      </c>
      <c r="M387" s="1">
        <v>45405</v>
      </c>
      <c r="N387" s="5"/>
      <c r="S387" s="6"/>
      <c r="T387" s="5">
        <f t="shared" si="61"/>
        <v>0</v>
      </c>
      <c r="U387" s="10">
        <f t="shared" si="62"/>
        <v>0</v>
      </c>
      <c r="V387" s="10">
        <f t="shared" si="63"/>
        <v>0</v>
      </c>
      <c r="W387" s="10">
        <f t="shared" si="64"/>
        <v>0</v>
      </c>
      <c r="X387" s="6">
        <f t="shared" si="65"/>
        <v>0</v>
      </c>
      <c r="Y387" s="5">
        <f t="shared" ref="Y387:Y450" si="66">1000 * T387/100</f>
        <v>0</v>
      </c>
      <c r="Z387" s="10">
        <f t="shared" ref="Z387:Z450" si="67">1000 * U387/100</f>
        <v>0</v>
      </c>
      <c r="AA387" s="10">
        <f t="shared" ref="AA387:AA450" si="68">1000 * V387/100</f>
        <v>0</v>
      </c>
      <c r="AB387" s="10">
        <f t="shared" ref="AB387:AB450" si="69">1000 * W387/100</f>
        <v>0</v>
      </c>
      <c r="AC387" s="6">
        <f t="shared" ref="AC387:AC450" si="70">1000 * X387/100</f>
        <v>0</v>
      </c>
    </row>
    <row r="388" spans="1:29" x14ac:dyDescent="0.25">
      <c r="A388" t="s">
        <v>21</v>
      </c>
      <c r="B388" t="s">
        <v>283</v>
      </c>
      <c r="C388" s="1" t="s">
        <v>15</v>
      </c>
      <c r="D388">
        <v>0</v>
      </c>
      <c r="E388">
        <v>0</v>
      </c>
      <c r="F388">
        <v>0</v>
      </c>
      <c r="G388">
        <v>0</v>
      </c>
      <c r="H388">
        <v>0</v>
      </c>
      <c r="I388" s="1">
        <v>45405</v>
      </c>
      <c r="J388" s="1">
        <v>45405</v>
      </c>
      <c r="K388" s="1">
        <v>45405</v>
      </c>
      <c r="L388" s="1">
        <v>45405</v>
      </c>
      <c r="M388" s="1">
        <v>45405</v>
      </c>
      <c r="N388" s="5"/>
      <c r="S388" s="6"/>
      <c r="T388" s="5">
        <f t="shared" si="61"/>
        <v>0</v>
      </c>
      <c r="U388" s="10">
        <f t="shared" si="62"/>
        <v>0</v>
      </c>
      <c r="V388" s="10">
        <f t="shared" si="63"/>
        <v>0</v>
      </c>
      <c r="W388" s="10">
        <f t="shared" si="64"/>
        <v>0</v>
      </c>
      <c r="X388" s="6">
        <f t="shared" si="65"/>
        <v>0</v>
      </c>
      <c r="Y388" s="5">
        <f t="shared" si="66"/>
        <v>0</v>
      </c>
      <c r="Z388" s="10">
        <f t="shared" si="67"/>
        <v>0</v>
      </c>
      <c r="AA388" s="10">
        <f t="shared" si="68"/>
        <v>0</v>
      </c>
      <c r="AB388" s="10">
        <f t="shared" si="69"/>
        <v>0</v>
      </c>
      <c r="AC388" s="6">
        <f t="shared" si="70"/>
        <v>0</v>
      </c>
    </row>
    <row r="389" spans="1:29" x14ac:dyDescent="0.25">
      <c r="A389" t="s">
        <v>21</v>
      </c>
      <c r="B389" t="s">
        <v>284</v>
      </c>
      <c r="C389" s="1" t="s">
        <v>15</v>
      </c>
      <c r="D389">
        <v>0</v>
      </c>
      <c r="E389">
        <v>0</v>
      </c>
      <c r="F389">
        <v>0</v>
      </c>
      <c r="G389">
        <v>0</v>
      </c>
      <c r="H389">
        <v>0</v>
      </c>
      <c r="I389" s="1">
        <v>45405</v>
      </c>
      <c r="J389" s="1">
        <v>45405</v>
      </c>
      <c r="K389" s="1">
        <v>45405</v>
      </c>
      <c r="L389" s="1">
        <v>45405</v>
      </c>
      <c r="M389" s="1">
        <v>45405</v>
      </c>
      <c r="N389" s="5"/>
      <c r="S389" s="6"/>
      <c r="T389" s="5">
        <f t="shared" si="61"/>
        <v>0</v>
      </c>
      <c r="U389" s="10">
        <f t="shared" si="62"/>
        <v>0</v>
      </c>
      <c r="V389" s="10">
        <f t="shared" si="63"/>
        <v>0</v>
      </c>
      <c r="W389" s="10">
        <f t="shared" si="64"/>
        <v>0</v>
      </c>
      <c r="X389" s="6">
        <f t="shared" si="65"/>
        <v>0</v>
      </c>
      <c r="Y389" s="5">
        <f t="shared" si="66"/>
        <v>0</v>
      </c>
      <c r="Z389" s="10">
        <f t="shared" si="67"/>
        <v>0</v>
      </c>
      <c r="AA389" s="10">
        <f t="shared" si="68"/>
        <v>0</v>
      </c>
      <c r="AB389" s="10">
        <f t="shared" si="69"/>
        <v>0</v>
      </c>
      <c r="AC389" s="6">
        <f t="shared" si="70"/>
        <v>0</v>
      </c>
    </row>
    <row r="390" spans="1:29" x14ac:dyDescent="0.25">
      <c r="A390" t="s">
        <v>21</v>
      </c>
      <c r="B390" t="s">
        <v>286</v>
      </c>
      <c r="C390" s="1" t="s">
        <v>15</v>
      </c>
      <c r="D390">
        <v>0</v>
      </c>
      <c r="E390">
        <v>0</v>
      </c>
      <c r="F390">
        <v>0</v>
      </c>
      <c r="G390">
        <v>0</v>
      </c>
      <c r="H390">
        <v>0</v>
      </c>
      <c r="I390" s="1">
        <v>45405</v>
      </c>
      <c r="J390" s="1">
        <v>45405</v>
      </c>
      <c r="K390" s="1">
        <v>45405</v>
      </c>
      <c r="L390" s="1">
        <v>45405</v>
      </c>
      <c r="M390" s="1">
        <v>45405</v>
      </c>
      <c r="N390" s="5"/>
      <c r="S390" s="6"/>
      <c r="T390" s="5">
        <f t="shared" si="61"/>
        <v>0</v>
      </c>
      <c r="U390" s="10">
        <f t="shared" si="62"/>
        <v>0</v>
      </c>
      <c r="V390" s="10">
        <f t="shared" si="63"/>
        <v>0</v>
      </c>
      <c r="W390" s="10">
        <f t="shared" si="64"/>
        <v>0</v>
      </c>
      <c r="X390" s="6">
        <f t="shared" si="65"/>
        <v>0</v>
      </c>
      <c r="Y390" s="5">
        <f t="shared" si="66"/>
        <v>0</v>
      </c>
      <c r="Z390" s="10">
        <f t="shared" si="67"/>
        <v>0</v>
      </c>
      <c r="AA390" s="10">
        <f t="shared" si="68"/>
        <v>0</v>
      </c>
      <c r="AB390" s="10">
        <f t="shared" si="69"/>
        <v>0</v>
      </c>
      <c r="AC390" s="6">
        <f t="shared" si="70"/>
        <v>0</v>
      </c>
    </row>
    <row r="391" spans="1:29" x14ac:dyDescent="0.25">
      <c r="A391" t="s">
        <v>21</v>
      </c>
      <c r="B391" t="s">
        <v>249</v>
      </c>
      <c r="C391" s="1" t="s">
        <v>15</v>
      </c>
      <c r="D391">
        <v>0</v>
      </c>
      <c r="E391">
        <v>0</v>
      </c>
      <c r="F391">
        <v>0</v>
      </c>
      <c r="G391">
        <v>0</v>
      </c>
      <c r="H391">
        <v>0</v>
      </c>
      <c r="I391" s="1">
        <v>45405</v>
      </c>
      <c r="J391" s="1">
        <v>45405</v>
      </c>
      <c r="K391" s="1">
        <v>45405</v>
      </c>
      <c r="L391" s="1">
        <v>45405</v>
      </c>
      <c r="M391" s="1">
        <v>45405</v>
      </c>
      <c r="N391" s="5"/>
      <c r="S391" s="6"/>
      <c r="T391" s="5">
        <f t="shared" si="61"/>
        <v>0</v>
      </c>
      <c r="U391" s="10">
        <f t="shared" si="62"/>
        <v>0</v>
      </c>
      <c r="V391" s="10">
        <f t="shared" si="63"/>
        <v>0</v>
      </c>
      <c r="W391" s="10">
        <f t="shared" si="64"/>
        <v>0</v>
      </c>
      <c r="X391" s="6">
        <f t="shared" si="65"/>
        <v>0</v>
      </c>
      <c r="Y391" s="5">
        <f t="shared" si="66"/>
        <v>0</v>
      </c>
      <c r="Z391" s="10">
        <f t="shared" si="67"/>
        <v>0</v>
      </c>
      <c r="AA391" s="10">
        <f t="shared" si="68"/>
        <v>0</v>
      </c>
      <c r="AB391" s="10">
        <f t="shared" si="69"/>
        <v>0</v>
      </c>
      <c r="AC391" s="6">
        <f t="shared" si="70"/>
        <v>0</v>
      </c>
    </row>
    <row r="392" spans="1:29" x14ac:dyDescent="0.25">
      <c r="A392" t="s">
        <v>21</v>
      </c>
      <c r="B392" t="s">
        <v>24</v>
      </c>
      <c r="C392" s="1" t="s">
        <v>15</v>
      </c>
      <c r="D392">
        <v>0</v>
      </c>
      <c r="E392">
        <v>0</v>
      </c>
      <c r="F392">
        <v>0</v>
      </c>
      <c r="G392">
        <v>0</v>
      </c>
      <c r="H392">
        <v>0</v>
      </c>
      <c r="I392" s="1">
        <v>45405</v>
      </c>
      <c r="J392" s="1">
        <v>45405</v>
      </c>
      <c r="K392" s="1">
        <v>45405</v>
      </c>
      <c r="L392" s="1">
        <v>45405</v>
      </c>
      <c r="M392" s="1">
        <v>45405</v>
      </c>
      <c r="N392" s="5"/>
      <c r="S392" s="6"/>
      <c r="T392" s="5">
        <f t="shared" si="61"/>
        <v>0</v>
      </c>
      <c r="U392" s="10">
        <f t="shared" si="62"/>
        <v>0</v>
      </c>
      <c r="V392" s="10">
        <f t="shared" si="63"/>
        <v>0</v>
      </c>
      <c r="W392" s="10">
        <f t="shared" si="64"/>
        <v>0</v>
      </c>
      <c r="X392" s="6">
        <f t="shared" si="65"/>
        <v>0</v>
      </c>
      <c r="Y392" s="5">
        <f t="shared" si="66"/>
        <v>0</v>
      </c>
      <c r="Z392" s="10">
        <f t="shared" si="67"/>
        <v>0</v>
      </c>
      <c r="AA392" s="10">
        <f t="shared" si="68"/>
        <v>0</v>
      </c>
      <c r="AB392" s="10">
        <f t="shared" si="69"/>
        <v>0</v>
      </c>
      <c r="AC392" s="6">
        <f t="shared" si="70"/>
        <v>0</v>
      </c>
    </row>
    <row r="393" spans="1:29" x14ac:dyDescent="0.25">
      <c r="A393" t="s">
        <v>21</v>
      </c>
      <c r="B393" t="s">
        <v>22</v>
      </c>
      <c r="C393" s="1" t="s">
        <v>15</v>
      </c>
      <c r="D393">
        <v>0</v>
      </c>
      <c r="E393">
        <v>0</v>
      </c>
      <c r="F393">
        <v>0</v>
      </c>
      <c r="G393">
        <v>0</v>
      </c>
      <c r="H393">
        <v>0</v>
      </c>
      <c r="I393" s="1">
        <v>45405</v>
      </c>
      <c r="J393" s="1">
        <v>45405</v>
      </c>
      <c r="K393" s="1">
        <v>45405</v>
      </c>
      <c r="L393" s="1">
        <v>45405</v>
      </c>
      <c r="M393" s="1">
        <v>45405</v>
      </c>
      <c r="N393" s="5"/>
      <c r="S393" s="6"/>
      <c r="T393" s="5">
        <f t="shared" si="61"/>
        <v>0</v>
      </c>
      <c r="U393" s="10">
        <f t="shared" si="62"/>
        <v>0</v>
      </c>
      <c r="V393" s="10">
        <f t="shared" si="63"/>
        <v>0</v>
      </c>
      <c r="W393" s="10">
        <f t="shared" si="64"/>
        <v>0</v>
      </c>
      <c r="X393" s="6">
        <f t="shared" si="65"/>
        <v>0</v>
      </c>
      <c r="Y393" s="5">
        <f t="shared" si="66"/>
        <v>0</v>
      </c>
      <c r="Z393" s="10">
        <f t="shared" si="67"/>
        <v>0</v>
      </c>
      <c r="AA393" s="10">
        <f t="shared" si="68"/>
        <v>0</v>
      </c>
      <c r="AB393" s="10">
        <f t="shared" si="69"/>
        <v>0</v>
      </c>
      <c r="AC393" s="6">
        <f t="shared" si="70"/>
        <v>0</v>
      </c>
    </row>
    <row r="394" spans="1:29" x14ac:dyDescent="0.25">
      <c r="A394" t="s">
        <v>21</v>
      </c>
      <c r="B394" t="s">
        <v>236</v>
      </c>
      <c r="C394" s="1" t="s">
        <v>15</v>
      </c>
      <c r="D394">
        <v>0</v>
      </c>
      <c r="E394">
        <v>0</v>
      </c>
      <c r="F394">
        <v>0</v>
      </c>
      <c r="G394">
        <v>0</v>
      </c>
      <c r="H394">
        <v>0</v>
      </c>
      <c r="I394" s="1">
        <v>45405</v>
      </c>
      <c r="J394" s="1">
        <v>45405</v>
      </c>
      <c r="K394" s="1">
        <v>45405</v>
      </c>
      <c r="L394" s="1">
        <v>45405</v>
      </c>
      <c r="M394" s="1">
        <v>45405</v>
      </c>
      <c r="N394" s="5"/>
      <c r="S394" s="6"/>
      <c r="T394" s="5">
        <f t="shared" si="61"/>
        <v>0</v>
      </c>
      <c r="U394" s="10">
        <f t="shared" si="62"/>
        <v>0</v>
      </c>
      <c r="V394" s="10">
        <f t="shared" si="63"/>
        <v>0</v>
      </c>
      <c r="W394" s="10">
        <f t="shared" si="64"/>
        <v>0</v>
      </c>
      <c r="X394" s="6">
        <f t="shared" si="65"/>
        <v>0</v>
      </c>
      <c r="Y394" s="5">
        <f t="shared" si="66"/>
        <v>0</v>
      </c>
      <c r="Z394" s="10">
        <f t="shared" si="67"/>
        <v>0</v>
      </c>
      <c r="AA394" s="10">
        <f t="shared" si="68"/>
        <v>0</v>
      </c>
      <c r="AB394" s="10">
        <f t="shared" si="69"/>
        <v>0</v>
      </c>
      <c r="AC394" s="6">
        <f t="shared" si="70"/>
        <v>0</v>
      </c>
    </row>
    <row r="395" spans="1:29" x14ac:dyDescent="0.25">
      <c r="A395" t="s">
        <v>21</v>
      </c>
      <c r="B395" t="s">
        <v>135</v>
      </c>
      <c r="C395" s="1" t="s">
        <v>15</v>
      </c>
      <c r="D395">
        <v>0</v>
      </c>
      <c r="E395">
        <v>0</v>
      </c>
      <c r="F395">
        <v>0</v>
      </c>
      <c r="G395">
        <v>0</v>
      </c>
      <c r="H395">
        <v>0</v>
      </c>
      <c r="I395" s="1">
        <v>45405</v>
      </c>
      <c r="J395" s="1">
        <v>45405</v>
      </c>
      <c r="K395" s="1">
        <v>45405</v>
      </c>
      <c r="L395" s="1">
        <v>45405</v>
      </c>
      <c r="M395" s="1">
        <v>45405</v>
      </c>
      <c r="N395" s="5"/>
      <c r="S395" s="6"/>
      <c r="T395" s="5">
        <f t="shared" si="61"/>
        <v>0</v>
      </c>
      <c r="U395" s="10">
        <f t="shared" si="62"/>
        <v>0</v>
      </c>
      <c r="V395" s="10">
        <f t="shared" si="63"/>
        <v>0</v>
      </c>
      <c r="W395" s="10">
        <f t="shared" si="64"/>
        <v>0</v>
      </c>
      <c r="X395" s="6">
        <f t="shared" si="65"/>
        <v>0</v>
      </c>
      <c r="Y395" s="5">
        <f t="shared" si="66"/>
        <v>0</v>
      </c>
      <c r="Z395" s="10">
        <f t="shared" si="67"/>
        <v>0</v>
      </c>
      <c r="AA395" s="10">
        <f t="shared" si="68"/>
        <v>0</v>
      </c>
      <c r="AB395" s="10">
        <f t="shared" si="69"/>
        <v>0</v>
      </c>
      <c r="AC395" s="6">
        <f t="shared" si="70"/>
        <v>0</v>
      </c>
    </row>
    <row r="396" spans="1:29" x14ac:dyDescent="0.25">
      <c r="A396" t="s">
        <v>21</v>
      </c>
      <c r="B396" t="s">
        <v>289</v>
      </c>
      <c r="C396" s="1" t="s">
        <v>15</v>
      </c>
      <c r="D396">
        <v>0</v>
      </c>
      <c r="E396">
        <v>0</v>
      </c>
      <c r="F396">
        <v>0</v>
      </c>
      <c r="G396">
        <v>0</v>
      </c>
      <c r="H396">
        <v>0</v>
      </c>
      <c r="I396" s="1">
        <v>45405</v>
      </c>
      <c r="J396" s="1">
        <v>45405</v>
      </c>
      <c r="K396" s="1">
        <v>45405</v>
      </c>
      <c r="L396" s="1">
        <v>45405</v>
      </c>
      <c r="M396" s="1">
        <v>45405</v>
      </c>
      <c r="N396" s="5"/>
      <c r="S396" s="6"/>
      <c r="T396" s="5">
        <f t="shared" si="61"/>
        <v>0</v>
      </c>
      <c r="U396" s="10">
        <f t="shared" si="62"/>
        <v>0</v>
      </c>
      <c r="V396" s="10">
        <f t="shared" si="63"/>
        <v>0</v>
      </c>
      <c r="W396" s="10">
        <f t="shared" si="64"/>
        <v>0</v>
      </c>
      <c r="X396" s="6">
        <f t="shared" si="65"/>
        <v>0</v>
      </c>
      <c r="Y396" s="5">
        <f t="shared" si="66"/>
        <v>0</v>
      </c>
      <c r="Z396" s="10">
        <f t="shared" si="67"/>
        <v>0</v>
      </c>
      <c r="AA396" s="10">
        <f t="shared" si="68"/>
        <v>0</v>
      </c>
      <c r="AB396" s="10">
        <f t="shared" si="69"/>
        <v>0</v>
      </c>
      <c r="AC396" s="6">
        <f t="shared" si="70"/>
        <v>0</v>
      </c>
    </row>
    <row r="397" spans="1:29" x14ac:dyDescent="0.25">
      <c r="A397" t="s">
        <v>21</v>
      </c>
      <c r="B397" t="s">
        <v>96</v>
      </c>
      <c r="C397" s="1" t="s">
        <v>15</v>
      </c>
      <c r="D397">
        <v>0</v>
      </c>
      <c r="E397">
        <v>0</v>
      </c>
      <c r="F397">
        <v>0</v>
      </c>
      <c r="G397">
        <v>0</v>
      </c>
      <c r="H397">
        <v>0</v>
      </c>
      <c r="I397" s="1">
        <v>45405</v>
      </c>
      <c r="J397" s="1">
        <v>45405</v>
      </c>
      <c r="K397" s="1">
        <v>45405</v>
      </c>
      <c r="L397" s="1">
        <v>45405</v>
      </c>
      <c r="M397" s="1">
        <v>45405</v>
      </c>
      <c r="N397" s="5"/>
      <c r="S397" s="6"/>
      <c r="T397" s="5">
        <f t="shared" si="61"/>
        <v>0</v>
      </c>
      <c r="U397" s="10">
        <f t="shared" si="62"/>
        <v>0</v>
      </c>
      <c r="V397" s="10">
        <f t="shared" si="63"/>
        <v>0</v>
      </c>
      <c r="W397" s="10">
        <f t="shared" si="64"/>
        <v>0</v>
      </c>
      <c r="X397" s="6">
        <f t="shared" si="65"/>
        <v>0</v>
      </c>
      <c r="Y397" s="5">
        <f t="shared" si="66"/>
        <v>0</v>
      </c>
      <c r="Z397" s="10">
        <f t="shared" si="67"/>
        <v>0</v>
      </c>
      <c r="AA397" s="10">
        <f t="shared" si="68"/>
        <v>0</v>
      </c>
      <c r="AB397" s="10">
        <f t="shared" si="69"/>
        <v>0</v>
      </c>
      <c r="AC397" s="6">
        <f t="shared" si="70"/>
        <v>0</v>
      </c>
    </row>
    <row r="398" spans="1:29" x14ac:dyDescent="0.25">
      <c r="A398" t="s">
        <v>21</v>
      </c>
      <c r="B398" t="s">
        <v>96</v>
      </c>
      <c r="C398" s="1" t="s">
        <v>15</v>
      </c>
      <c r="D398">
        <v>0</v>
      </c>
      <c r="E398">
        <v>0</v>
      </c>
      <c r="F398">
        <v>0</v>
      </c>
      <c r="G398">
        <v>0</v>
      </c>
      <c r="H398">
        <v>0</v>
      </c>
      <c r="I398" s="1">
        <v>45405</v>
      </c>
      <c r="J398" s="1">
        <v>45405</v>
      </c>
      <c r="K398" s="1">
        <v>45405</v>
      </c>
      <c r="L398" s="1">
        <v>45405</v>
      </c>
      <c r="M398" s="1">
        <v>45405</v>
      </c>
      <c r="N398" s="5"/>
      <c r="S398" s="6"/>
      <c r="T398" s="5">
        <f t="shared" si="61"/>
        <v>0</v>
      </c>
      <c r="U398" s="10">
        <f t="shared" si="62"/>
        <v>0</v>
      </c>
      <c r="V398" s="10">
        <f t="shared" si="63"/>
        <v>0</v>
      </c>
      <c r="W398" s="10">
        <f t="shared" si="64"/>
        <v>0</v>
      </c>
      <c r="X398" s="6">
        <f t="shared" si="65"/>
        <v>0</v>
      </c>
      <c r="Y398" s="5">
        <f t="shared" si="66"/>
        <v>0</v>
      </c>
      <c r="Z398" s="10">
        <f t="shared" si="67"/>
        <v>0</v>
      </c>
      <c r="AA398" s="10">
        <f t="shared" si="68"/>
        <v>0</v>
      </c>
      <c r="AB398" s="10">
        <f t="shared" si="69"/>
        <v>0</v>
      </c>
      <c r="AC398" s="6">
        <f t="shared" si="70"/>
        <v>0</v>
      </c>
    </row>
    <row r="399" spans="1:29" x14ac:dyDescent="0.25">
      <c r="A399" t="s">
        <v>21</v>
      </c>
      <c r="B399" t="s">
        <v>291</v>
      </c>
      <c r="C399" s="1" t="s">
        <v>15</v>
      </c>
      <c r="D399">
        <v>0</v>
      </c>
      <c r="E399">
        <v>0</v>
      </c>
      <c r="F399">
        <v>0</v>
      </c>
      <c r="G399">
        <v>0</v>
      </c>
      <c r="H399">
        <v>0</v>
      </c>
      <c r="I399" s="1">
        <v>45405</v>
      </c>
      <c r="J399" s="1">
        <v>45405</v>
      </c>
      <c r="K399" s="1">
        <v>45405</v>
      </c>
      <c r="L399" s="1">
        <v>45405</v>
      </c>
      <c r="M399" s="1">
        <v>45405</v>
      </c>
      <c r="N399" s="5"/>
      <c r="S399" s="6"/>
      <c r="T399" s="5">
        <f t="shared" si="61"/>
        <v>0</v>
      </c>
      <c r="U399" s="10">
        <f t="shared" si="62"/>
        <v>0</v>
      </c>
      <c r="V399" s="10">
        <f t="shared" si="63"/>
        <v>0</v>
      </c>
      <c r="W399" s="10">
        <f t="shared" si="64"/>
        <v>0</v>
      </c>
      <c r="X399" s="6">
        <f t="shared" si="65"/>
        <v>0</v>
      </c>
      <c r="Y399" s="5">
        <f t="shared" si="66"/>
        <v>0</v>
      </c>
      <c r="Z399" s="10">
        <f t="shared" si="67"/>
        <v>0</v>
      </c>
      <c r="AA399" s="10">
        <f t="shared" si="68"/>
        <v>0</v>
      </c>
      <c r="AB399" s="10">
        <f t="shared" si="69"/>
        <v>0</v>
      </c>
      <c r="AC399" s="6">
        <f t="shared" si="70"/>
        <v>0</v>
      </c>
    </row>
    <row r="400" spans="1:29" x14ac:dyDescent="0.25">
      <c r="A400" t="s">
        <v>21</v>
      </c>
      <c r="B400" t="s">
        <v>279</v>
      </c>
      <c r="C400" s="1" t="s">
        <v>15</v>
      </c>
      <c r="D400">
        <v>0</v>
      </c>
      <c r="E400">
        <v>0</v>
      </c>
      <c r="F400">
        <v>0</v>
      </c>
      <c r="G400">
        <v>0</v>
      </c>
      <c r="H400">
        <v>0</v>
      </c>
      <c r="I400" s="1">
        <v>45405</v>
      </c>
      <c r="J400" s="1">
        <v>45405</v>
      </c>
      <c r="K400" s="1">
        <v>45405</v>
      </c>
      <c r="L400" s="1">
        <v>45405</v>
      </c>
      <c r="M400" s="1">
        <v>45405</v>
      </c>
      <c r="N400" s="5"/>
      <c r="S400" s="6"/>
      <c r="T400" s="5">
        <f t="shared" si="61"/>
        <v>0</v>
      </c>
      <c r="U400" s="10">
        <f t="shared" si="62"/>
        <v>0</v>
      </c>
      <c r="V400" s="10">
        <f t="shared" si="63"/>
        <v>0</v>
      </c>
      <c r="W400" s="10">
        <f t="shared" si="64"/>
        <v>0</v>
      </c>
      <c r="X400" s="6">
        <f t="shared" si="65"/>
        <v>0</v>
      </c>
      <c r="Y400" s="5">
        <f t="shared" si="66"/>
        <v>0</v>
      </c>
      <c r="Z400" s="10">
        <f t="shared" si="67"/>
        <v>0</v>
      </c>
      <c r="AA400" s="10">
        <f t="shared" si="68"/>
        <v>0</v>
      </c>
      <c r="AB400" s="10">
        <f t="shared" si="69"/>
        <v>0</v>
      </c>
      <c r="AC400" s="6">
        <f t="shared" si="70"/>
        <v>0</v>
      </c>
    </row>
    <row r="401" spans="1:29" x14ac:dyDescent="0.25">
      <c r="A401" t="s">
        <v>21</v>
      </c>
      <c r="B401" t="s">
        <v>292</v>
      </c>
      <c r="C401" s="1" t="s">
        <v>15</v>
      </c>
      <c r="D401">
        <v>0</v>
      </c>
      <c r="E401">
        <v>0</v>
      </c>
      <c r="F401">
        <v>0</v>
      </c>
      <c r="G401">
        <v>0</v>
      </c>
      <c r="H401">
        <v>0</v>
      </c>
      <c r="I401" s="1">
        <v>45405</v>
      </c>
      <c r="J401" s="1">
        <v>45405</v>
      </c>
      <c r="K401" s="1">
        <v>45405</v>
      </c>
      <c r="L401" s="1">
        <v>45405</v>
      </c>
      <c r="M401" s="1">
        <v>45405</v>
      </c>
      <c r="N401" s="5"/>
      <c r="S401" s="6"/>
      <c r="T401" s="5">
        <f t="shared" si="61"/>
        <v>0</v>
      </c>
      <c r="U401" s="10">
        <f t="shared" si="62"/>
        <v>0</v>
      </c>
      <c r="V401" s="10">
        <f t="shared" si="63"/>
        <v>0</v>
      </c>
      <c r="W401" s="10">
        <f t="shared" si="64"/>
        <v>0</v>
      </c>
      <c r="X401" s="6">
        <f t="shared" si="65"/>
        <v>0</v>
      </c>
      <c r="Y401" s="5">
        <f t="shared" si="66"/>
        <v>0</v>
      </c>
      <c r="Z401" s="10">
        <f t="shared" si="67"/>
        <v>0</v>
      </c>
      <c r="AA401" s="10">
        <f t="shared" si="68"/>
        <v>0</v>
      </c>
      <c r="AB401" s="10">
        <f t="shared" si="69"/>
        <v>0</v>
      </c>
      <c r="AC401" s="6">
        <f t="shared" si="70"/>
        <v>0</v>
      </c>
    </row>
    <row r="402" spans="1:29" x14ac:dyDescent="0.25">
      <c r="A402" t="s">
        <v>21</v>
      </c>
      <c r="B402" t="s">
        <v>28</v>
      </c>
      <c r="C402" s="1" t="s">
        <v>15</v>
      </c>
      <c r="D402">
        <v>0</v>
      </c>
      <c r="E402">
        <v>0</v>
      </c>
      <c r="F402">
        <v>0</v>
      </c>
      <c r="G402">
        <v>0</v>
      </c>
      <c r="H402">
        <v>0</v>
      </c>
      <c r="I402" s="1">
        <v>45405</v>
      </c>
      <c r="J402" s="1">
        <v>45405</v>
      </c>
      <c r="K402" s="1">
        <v>45405</v>
      </c>
      <c r="L402" s="1">
        <v>45405</v>
      </c>
      <c r="M402" s="1">
        <v>45405</v>
      </c>
      <c r="N402" s="5"/>
      <c r="S402" s="6"/>
      <c r="T402" s="5">
        <f t="shared" si="61"/>
        <v>0</v>
      </c>
      <c r="U402" s="10">
        <f t="shared" si="62"/>
        <v>0</v>
      </c>
      <c r="V402" s="10">
        <f t="shared" si="63"/>
        <v>0</v>
      </c>
      <c r="W402" s="10">
        <f t="shared" si="64"/>
        <v>0</v>
      </c>
      <c r="X402" s="6">
        <f t="shared" si="65"/>
        <v>0</v>
      </c>
      <c r="Y402" s="5">
        <f t="shared" si="66"/>
        <v>0</v>
      </c>
      <c r="Z402" s="10">
        <f t="shared" si="67"/>
        <v>0</v>
      </c>
      <c r="AA402" s="10">
        <f t="shared" si="68"/>
        <v>0</v>
      </c>
      <c r="AB402" s="10">
        <f t="shared" si="69"/>
        <v>0</v>
      </c>
      <c r="AC402" s="6">
        <f t="shared" si="70"/>
        <v>0</v>
      </c>
    </row>
    <row r="403" spans="1:29" x14ac:dyDescent="0.25">
      <c r="A403" t="s">
        <v>21</v>
      </c>
      <c r="B403" t="s">
        <v>252</v>
      </c>
      <c r="C403" s="1" t="s">
        <v>15</v>
      </c>
      <c r="D403">
        <v>0</v>
      </c>
      <c r="E403">
        <v>0</v>
      </c>
      <c r="F403">
        <v>0</v>
      </c>
      <c r="G403">
        <v>0</v>
      </c>
      <c r="H403">
        <v>0</v>
      </c>
      <c r="I403" s="1">
        <v>45405</v>
      </c>
      <c r="J403" s="1">
        <v>45405</v>
      </c>
      <c r="K403" s="1">
        <v>45405</v>
      </c>
      <c r="L403" s="1">
        <v>45405</v>
      </c>
      <c r="M403" s="1">
        <v>45405</v>
      </c>
      <c r="N403" s="5"/>
      <c r="S403" s="6"/>
      <c r="T403" s="5">
        <f t="shared" si="61"/>
        <v>0</v>
      </c>
      <c r="U403" s="10">
        <f t="shared" si="62"/>
        <v>0</v>
      </c>
      <c r="V403" s="10">
        <f t="shared" si="63"/>
        <v>0</v>
      </c>
      <c r="W403" s="10">
        <f t="shared" si="64"/>
        <v>0</v>
      </c>
      <c r="X403" s="6">
        <f t="shared" si="65"/>
        <v>0</v>
      </c>
      <c r="Y403" s="5">
        <f t="shared" si="66"/>
        <v>0</v>
      </c>
      <c r="Z403" s="10">
        <f t="shared" si="67"/>
        <v>0</v>
      </c>
      <c r="AA403" s="10">
        <f t="shared" si="68"/>
        <v>0</v>
      </c>
      <c r="AB403" s="10">
        <f t="shared" si="69"/>
        <v>0</v>
      </c>
      <c r="AC403" s="6">
        <f t="shared" si="70"/>
        <v>0</v>
      </c>
    </row>
    <row r="404" spans="1:29" x14ac:dyDescent="0.25">
      <c r="A404" t="s">
        <v>293</v>
      </c>
      <c r="B404" t="s">
        <v>170</v>
      </c>
      <c r="C404" s="1" t="s">
        <v>16</v>
      </c>
      <c r="D404">
        <v>0</v>
      </c>
      <c r="E404">
        <v>0</v>
      </c>
      <c r="F404">
        <v>0</v>
      </c>
      <c r="G404">
        <v>0</v>
      </c>
      <c r="H404">
        <v>0</v>
      </c>
      <c r="I404" s="1">
        <v>45399</v>
      </c>
      <c r="J404" s="1">
        <v>45399</v>
      </c>
      <c r="K404" s="1">
        <v>45399</v>
      </c>
      <c r="L404" s="1">
        <v>45399</v>
      </c>
      <c r="M404" s="1">
        <v>45399</v>
      </c>
      <c r="N404" s="5"/>
      <c r="S404" s="6"/>
      <c r="T404" s="5">
        <f t="shared" si="61"/>
        <v>0</v>
      </c>
      <c r="U404" s="10">
        <f t="shared" si="62"/>
        <v>0</v>
      </c>
      <c r="V404" s="10">
        <f t="shared" si="63"/>
        <v>0</v>
      </c>
      <c r="W404" s="10">
        <f t="shared" si="64"/>
        <v>0</v>
      </c>
      <c r="X404" s="6">
        <f t="shared" si="65"/>
        <v>0</v>
      </c>
      <c r="Y404" s="5">
        <f t="shared" si="66"/>
        <v>0</v>
      </c>
      <c r="Z404" s="10">
        <f t="shared" si="67"/>
        <v>0</v>
      </c>
      <c r="AA404" s="10">
        <f t="shared" si="68"/>
        <v>0</v>
      </c>
      <c r="AB404" s="10">
        <f t="shared" si="69"/>
        <v>0</v>
      </c>
      <c r="AC404" s="6">
        <f t="shared" si="70"/>
        <v>0</v>
      </c>
    </row>
    <row r="405" spans="1:29" x14ac:dyDescent="0.25">
      <c r="A405" t="s">
        <v>59</v>
      </c>
      <c r="B405" t="s">
        <v>60</v>
      </c>
      <c r="C405" s="1" t="s">
        <v>16</v>
      </c>
      <c r="D405">
        <v>0</v>
      </c>
      <c r="E405">
        <v>0</v>
      </c>
      <c r="F405">
        <v>0</v>
      </c>
      <c r="G405">
        <v>36</v>
      </c>
      <c r="H405">
        <v>0</v>
      </c>
      <c r="I405" s="1">
        <v>45399</v>
      </c>
      <c r="J405" s="1">
        <v>45399</v>
      </c>
      <c r="K405" s="1">
        <v>45399</v>
      </c>
      <c r="L405" s="1">
        <v>45435</v>
      </c>
      <c r="M405" s="1">
        <v>45399</v>
      </c>
      <c r="N405" s="5">
        <v>101.3715992407495</v>
      </c>
      <c r="R405">
        <v>111.2899887329624</v>
      </c>
      <c r="S405" s="6"/>
      <c r="T405" s="5">
        <f t="shared" si="61"/>
        <v>0</v>
      </c>
      <c r="U405" s="10">
        <f t="shared" si="62"/>
        <v>0</v>
      </c>
      <c r="V405" s="10">
        <f t="shared" si="63"/>
        <v>0</v>
      </c>
      <c r="W405" s="10">
        <f t="shared" si="64"/>
        <v>9.7841896216488635</v>
      </c>
      <c r="X405" s="6">
        <f t="shared" si="65"/>
        <v>0</v>
      </c>
      <c r="Y405" s="5">
        <f t="shared" si="66"/>
        <v>0</v>
      </c>
      <c r="Z405" s="10">
        <f t="shared" si="67"/>
        <v>0</v>
      </c>
      <c r="AA405" s="10">
        <f t="shared" si="68"/>
        <v>0</v>
      </c>
      <c r="AB405" s="10">
        <f t="shared" si="69"/>
        <v>97.841896216488635</v>
      </c>
      <c r="AC405" s="6">
        <f t="shared" si="70"/>
        <v>0</v>
      </c>
    </row>
    <row r="406" spans="1:29" x14ac:dyDescent="0.25">
      <c r="A406" t="s">
        <v>61</v>
      </c>
      <c r="B406" t="s">
        <v>62</v>
      </c>
      <c r="C406" s="1" t="s">
        <v>17</v>
      </c>
      <c r="D406">
        <v>0</v>
      </c>
      <c r="E406">
        <v>0</v>
      </c>
      <c r="F406">
        <v>0</v>
      </c>
      <c r="G406">
        <v>0</v>
      </c>
      <c r="H406">
        <v>0</v>
      </c>
      <c r="I406" s="1">
        <v>45397</v>
      </c>
      <c r="J406" s="1">
        <v>45397</v>
      </c>
      <c r="K406" s="1">
        <v>45397</v>
      </c>
      <c r="L406" s="1">
        <v>45397</v>
      </c>
      <c r="M406" s="1">
        <v>45397</v>
      </c>
      <c r="N406" s="5"/>
      <c r="S406" s="6"/>
      <c r="T406" s="5">
        <f t="shared" si="61"/>
        <v>0</v>
      </c>
      <c r="U406" s="10">
        <f t="shared" si="62"/>
        <v>0</v>
      </c>
      <c r="V406" s="10">
        <f t="shared" si="63"/>
        <v>0</v>
      </c>
      <c r="W406" s="10">
        <f t="shared" si="64"/>
        <v>0</v>
      </c>
      <c r="X406" s="6">
        <f t="shared" si="65"/>
        <v>0</v>
      </c>
      <c r="Y406" s="5">
        <f t="shared" si="66"/>
        <v>0</v>
      </c>
      <c r="Z406" s="10">
        <f t="shared" si="67"/>
        <v>0</v>
      </c>
      <c r="AA406" s="10">
        <f t="shared" si="68"/>
        <v>0</v>
      </c>
      <c r="AB406" s="10">
        <f t="shared" si="69"/>
        <v>0</v>
      </c>
      <c r="AC406" s="6">
        <f t="shared" si="70"/>
        <v>0</v>
      </c>
    </row>
    <row r="407" spans="1:29" x14ac:dyDescent="0.25">
      <c r="A407" t="s">
        <v>61</v>
      </c>
      <c r="B407" t="s">
        <v>294</v>
      </c>
      <c r="C407" s="1" t="s">
        <v>17</v>
      </c>
      <c r="D407">
        <v>0</v>
      </c>
      <c r="E407">
        <v>0</v>
      </c>
      <c r="F407">
        <v>0</v>
      </c>
      <c r="G407">
        <v>0</v>
      </c>
      <c r="H407">
        <v>0</v>
      </c>
      <c r="I407" s="1">
        <v>45397</v>
      </c>
      <c r="J407" s="1">
        <v>45397</v>
      </c>
      <c r="K407" s="1">
        <v>45397</v>
      </c>
      <c r="L407" s="1">
        <v>45397</v>
      </c>
      <c r="M407" s="1">
        <v>45397</v>
      </c>
      <c r="N407" s="5"/>
      <c r="S407" s="6"/>
      <c r="T407" s="5">
        <f t="shared" si="61"/>
        <v>0</v>
      </c>
      <c r="U407" s="10">
        <f t="shared" si="62"/>
        <v>0</v>
      </c>
      <c r="V407" s="10">
        <f t="shared" si="63"/>
        <v>0</v>
      </c>
      <c r="W407" s="10">
        <f t="shared" si="64"/>
        <v>0</v>
      </c>
      <c r="X407" s="6">
        <f t="shared" si="65"/>
        <v>0</v>
      </c>
      <c r="Y407" s="5">
        <f t="shared" si="66"/>
        <v>0</v>
      </c>
      <c r="Z407" s="10">
        <f t="shared" si="67"/>
        <v>0</v>
      </c>
      <c r="AA407" s="10">
        <f t="shared" si="68"/>
        <v>0</v>
      </c>
      <c r="AB407" s="10">
        <f t="shared" si="69"/>
        <v>0</v>
      </c>
      <c r="AC407" s="6">
        <f t="shared" si="70"/>
        <v>0</v>
      </c>
    </row>
    <row r="408" spans="1:29" x14ac:dyDescent="0.25">
      <c r="A408" t="s">
        <v>61</v>
      </c>
      <c r="B408" t="s">
        <v>295</v>
      </c>
      <c r="C408" s="1" t="s">
        <v>17</v>
      </c>
      <c r="D408">
        <v>0</v>
      </c>
      <c r="E408">
        <v>37</v>
      </c>
      <c r="F408">
        <v>0</v>
      </c>
      <c r="G408">
        <v>0</v>
      </c>
      <c r="H408">
        <v>0</v>
      </c>
      <c r="I408" s="1">
        <v>45397</v>
      </c>
      <c r="J408" s="1">
        <v>45434</v>
      </c>
      <c r="K408" s="1">
        <v>45397</v>
      </c>
      <c r="L408" s="1">
        <v>45397</v>
      </c>
      <c r="M408" s="1">
        <v>45397</v>
      </c>
      <c r="N408" s="5">
        <v>5.05962502153898</v>
      </c>
      <c r="P408">
        <v>5.4167747600001448</v>
      </c>
      <c r="S408" s="6"/>
      <c r="T408" s="5">
        <f t="shared" si="61"/>
        <v>0</v>
      </c>
      <c r="U408" s="10">
        <f t="shared" si="62"/>
        <v>7.0588183302273899</v>
      </c>
      <c r="V408" s="10">
        <f t="shared" si="63"/>
        <v>0</v>
      </c>
      <c r="W408" s="10">
        <f t="shared" si="64"/>
        <v>0</v>
      </c>
      <c r="X408" s="6">
        <f t="shared" si="65"/>
        <v>0</v>
      </c>
      <c r="Y408" s="5">
        <f t="shared" si="66"/>
        <v>0</v>
      </c>
      <c r="Z408" s="10">
        <f t="shared" si="67"/>
        <v>70.588183302273904</v>
      </c>
      <c r="AA408" s="10">
        <f t="shared" si="68"/>
        <v>0</v>
      </c>
      <c r="AB408" s="10">
        <f t="shared" si="69"/>
        <v>0</v>
      </c>
      <c r="AC408" s="6">
        <f t="shared" si="70"/>
        <v>0</v>
      </c>
    </row>
    <row r="409" spans="1:29" x14ac:dyDescent="0.25">
      <c r="A409" t="s">
        <v>61</v>
      </c>
      <c r="B409" t="s">
        <v>295</v>
      </c>
      <c r="C409" s="1" t="s">
        <v>17</v>
      </c>
      <c r="D409">
        <v>0</v>
      </c>
      <c r="E409">
        <v>37</v>
      </c>
      <c r="F409">
        <v>0</v>
      </c>
      <c r="G409">
        <v>0</v>
      </c>
      <c r="H409">
        <v>0</v>
      </c>
      <c r="I409" s="1">
        <v>45397</v>
      </c>
      <c r="J409" s="1">
        <v>45434</v>
      </c>
      <c r="K409" s="1">
        <v>45397</v>
      </c>
      <c r="L409" s="1">
        <v>45397</v>
      </c>
      <c r="M409" s="1">
        <v>45397</v>
      </c>
      <c r="N409" s="5">
        <v>5.05962502153898</v>
      </c>
      <c r="P409">
        <v>5.4167747600001448</v>
      </c>
      <c r="S409" s="6"/>
      <c r="T409" s="5">
        <f t="shared" si="61"/>
        <v>0</v>
      </c>
      <c r="U409" s="10">
        <f t="shared" si="62"/>
        <v>7.0588183302273899</v>
      </c>
      <c r="V409" s="10">
        <f t="shared" si="63"/>
        <v>0</v>
      </c>
      <c r="W409" s="10">
        <f t="shared" si="64"/>
        <v>0</v>
      </c>
      <c r="X409" s="6">
        <f t="shared" si="65"/>
        <v>0</v>
      </c>
      <c r="Y409" s="5">
        <f t="shared" si="66"/>
        <v>0</v>
      </c>
      <c r="Z409" s="10">
        <f t="shared" si="67"/>
        <v>70.588183302273904</v>
      </c>
      <c r="AA409" s="10">
        <f t="shared" si="68"/>
        <v>0</v>
      </c>
      <c r="AB409" s="10">
        <f t="shared" si="69"/>
        <v>0</v>
      </c>
      <c r="AC409" s="6">
        <f t="shared" si="70"/>
        <v>0</v>
      </c>
    </row>
    <row r="410" spans="1:29" x14ac:dyDescent="0.25">
      <c r="A410" t="s">
        <v>61</v>
      </c>
      <c r="B410" t="s">
        <v>72</v>
      </c>
      <c r="C410" s="1" t="s">
        <v>17</v>
      </c>
      <c r="D410">
        <v>0</v>
      </c>
      <c r="E410">
        <v>0</v>
      </c>
      <c r="F410">
        <v>0</v>
      </c>
      <c r="G410">
        <v>38</v>
      </c>
      <c r="H410">
        <v>0</v>
      </c>
      <c r="I410" s="1">
        <v>45397</v>
      </c>
      <c r="J410" s="1">
        <v>45397</v>
      </c>
      <c r="K410" s="1">
        <v>45397</v>
      </c>
      <c r="L410" s="1">
        <v>45435</v>
      </c>
      <c r="M410" s="1">
        <v>45397</v>
      </c>
      <c r="N410" s="5">
        <v>2.9600000381469731</v>
      </c>
      <c r="R410">
        <v>7.0300002098083496</v>
      </c>
      <c r="S410" s="6"/>
      <c r="T410" s="5">
        <f t="shared" si="61"/>
        <v>0</v>
      </c>
      <c r="U410" s="10">
        <f t="shared" si="62"/>
        <v>0</v>
      </c>
      <c r="V410" s="10">
        <f t="shared" si="63"/>
        <v>0</v>
      </c>
      <c r="W410" s="10">
        <f t="shared" si="64"/>
        <v>137.50000402734076</v>
      </c>
      <c r="X410" s="6">
        <f t="shared" si="65"/>
        <v>0</v>
      </c>
      <c r="Y410" s="5">
        <f t="shared" si="66"/>
        <v>0</v>
      </c>
      <c r="Z410" s="10">
        <f t="shared" si="67"/>
        <v>0</v>
      </c>
      <c r="AA410" s="10">
        <f t="shared" si="68"/>
        <v>0</v>
      </c>
      <c r="AB410" s="10">
        <f t="shared" si="69"/>
        <v>1375.0000402734076</v>
      </c>
      <c r="AC410" s="6">
        <f t="shared" si="70"/>
        <v>0</v>
      </c>
    </row>
    <row r="411" spans="1:29" x14ac:dyDescent="0.25">
      <c r="A411" t="s">
        <v>61</v>
      </c>
      <c r="B411" t="s">
        <v>72</v>
      </c>
      <c r="C411" s="1" t="s">
        <v>17</v>
      </c>
      <c r="D411">
        <v>0</v>
      </c>
      <c r="E411">
        <v>0</v>
      </c>
      <c r="F411">
        <v>0</v>
      </c>
      <c r="G411">
        <v>38</v>
      </c>
      <c r="H411">
        <v>0</v>
      </c>
      <c r="I411" s="1">
        <v>45397</v>
      </c>
      <c r="J411" s="1">
        <v>45397</v>
      </c>
      <c r="K411" s="1">
        <v>45397</v>
      </c>
      <c r="L411" s="1">
        <v>45435</v>
      </c>
      <c r="M411" s="1">
        <v>45397</v>
      </c>
      <c r="N411" s="5">
        <v>2.9600000381469731</v>
      </c>
      <c r="R411">
        <v>7.0300002098083496</v>
      </c>
      <c r="S411" s="6"/>
      <c r="T411" s="5">
        <f t="shared" si="61"/>
        <v>0</v>
      </c>
      <c r="U411" s="10">
        <f t="shared" si="62"/>
        <v>0</v>
      </c>
      <c r="V411" s="10">
        <f t="shared" si="63"/>
        <v>0</v>
      </c>
      <c r="W411" s="10">
        <f t="shared" si="64"/>
        <v>137.50000402734076</v>
      </c>
      <c r="X411" s="6">
        <f t="shared" si="65"/>
        <v>0</v>
      </c>
      <c r="Y411" s="5">
        <f t="shared" si="66"/>
        <v>0</v>
      </c>
      <c r="Z411" s="10">
        <f t="shared" si="67"/>
        <v>0</v>
      </c>
      <c r="AA411" s="10">
        <f t="shared" si="68"/>
        <v>0</v>
      </c>
      <c r="AB411" s="10">
        <f t="shared" si="69"/>
        <v>1375.0000402734076</v>
      </c>
      <c r="AC411" s="6">
        <f t="shared" si="70"/>
        <v>0</v>
      </c>
    </row>
    <row r="412" spans="1:29" x14ac:dyDescent="0.25">
      <c r="A412" t="s">
        <v>61</v>
      </c>
      <c r="B412" t="s">
        <v>72</v>
      </c>
      <c r="C412" s="1" t="s">
        <v>17</v>
      </c>
      <c r="D412">
        <v>0</v>
      </c>
      <c r="E412">
        <v>0</v>
      </c>
      <c r="F412">
        <v>0</v>
      </c>
      <c r="G412">
        <v>38</v>
      </c>
      <c r="H412">
        <v>0</v>
      </c>
      <c r="I412" s="1">
        <v>45397</v>
      </c>
      <c r="J412" s="1">
        <v>45397</v>
      </c>
      <c r="K412" s="1">
        <v>45397</v>
      </c>
      <c r="L412" s="1">
        <v>45435</v>
      </c>
      <c r="M412" s="1">
        <v>45397</v>
      </c>
      <c r="N412" s="5">
        <v>2.9600000381469731</v>
      </c>
      <c r="R412">
        <v>7.0300002098083496</v>
      </c>
      <c r="S412" s="6"/>
      <c r="T412" s="5">
        <f t="shared" si="61"/>
        <v>0</v>
      </c>
      <c r="U412" s="10">
        <f t="shared" si="62"/>
        <v>0</v>
      </c>
      <c r="V412" s="10">
        <f t="shared" si="63"/>
        <v>0</v>
      </c>
      <c r="W412" s="10">
        <f t="shared" si="64"/>
        <v>137.50000402734076</v>
      </c>
      <c r="X412" s="6">
        <f t="shared" si="65"/>
        <v>0</v>
      </c>
      <c r="Y412" s="5">
        <f t="shared" si="66"/>
        <v>0</v>
      </c>
      <c r="Z412" s="10">
        <f t="shared" si="67"/>
        <v>0</v>
      </c>
      <c r="AA412" s="10">
        <f t="shared" si="68"/>
        <v>0</v>
      </c>
      <c r="AB412" s="10">
        <f t="shared" si="69"/>
        <v>1375.0000402734076</v>
      </c>
      <c r="AC412" s="6">
        <f t="shared" si="70"/>
        <v>0</v>
      </c>
    </row>
    <row r="413" spans="1:29" x14ac:dyDescent="0.25">
      <c r="A413" t="s">
        <v>61</v>
      </c>
      <c r="B413" t="s">
        <v>75</v>
      </c>
      <c r="C413" s="1" t="s">
        <v>17</v>
      </c>
      <c r="D413">
        <v>0</v>
      </c>
      <c r="E413">
        <v>0</v>
      </c>
      <c r="F413">
        <v>0</v>
      </c>
      <c r="G413">
        <v>0</v>
      </c>
      <c r="H413">
        <v>0</v>
      </c>
      <c r="I413" s="1">
        <v>45397</v>
      </c>
      <c r="J413" s="1">
        <v>45397</v>
      </c>
      <c r="K413" s="1">
        <v>45397</v>
      </c>
      <c r="L413" s="1">
        <v>45397</v>
      </c>
      <c r="M413" s="1">
        <v>45397</v>
      </c>
      <c r="N413" s="5"/>
      <c r="S413" s="6"/>
      <c r="T413" s="5">
        <f t="shared" si="61"/>
        <v>0</v>
      </c>
      <c r="U413" s="10">
        <f t="shared" si="62"/>
        <v>0</v>
      </c>
      <c r="V413" s="10">
        <f t="shared" si="63"/>
        <v>0</v>
      </c>
      <c r="W413" s="10">
        <f t="shared" si="64"/>
        <v>0</v>
      </c>
      <c r="X413" s="6">
        <f t="shared" si="65"/>
        <v>0</v>
      </c>
      <c r="Y413" s="5">
        <f t="shared" si="66"/>
        <v>0</v>
      </c>
      <c r="Z413" s="10">
        <f t="shared" si="67"/>
        <v>0</v>
      </c>
      <c r="AA413" s="10">
        <f t="shared" si="68"/>
        <v>0</v>
      </c>
      <c r="AB413" s="10">
        <f t="shared" si="69"/>
        <v>0</v>
      </c>
      <c r="AC413" s="6">
        <f t="shared" si="70"/>
        <v>0</v>
      </c>
    </row>
    <row r="414" spans="1:29" x14ac:dyDescent="0.25">
      <c r="A414" t="s">
        <v>61</v>
      </c>
      <c r="B414" t="s">
        <v>281</v>
      </c>
      <c r="C414" s="1" t="s">
        <v>17</v>
      </c>
      <c r="D414">
        <v>0</v>
      </c>
      <c r="E414">
        <v>4</v>
      </c>
      <c r="F414">
        <v>37</v>
      </c>
      <c r="G414">
        <v>37</v>
      </c>
      <c r="H414">
        <v>37</v>
      </c>
      <c r="I414" s="1">
        <v>45397</v>
      </c>
      <c r="J414" s="1">
        <v>45401</v>
      </c>
      <c r="K414" s="1">
        <v>45434</v>
      </c>
      <c r="L414" s="1">
        <v>45434</v>
      </c>
      <c r="M414" s="1">
        <v>45434</v>
      </c>
      <c r="N414" s="5">
        <v>477.01998901367188</v>
      </c>
      <c r="P414">
        <v>476.760009765625</v>
      </c>
      <c r="Q414">
        <v>481.19000244140619</v>
      </c>
      <c r="R414">
        <v>481.19000244140619</v>
      </c>
      <c r="S414" s="6">
        <v>481.19000244140619</v>
      </c>
      <c r="T414" s="5">
        <f t="shared" si="61"/>
        <v>0</v>
      </c>
      <c r="U414" s="10">
        <f t="shared" si="62"/>
        <v>-5.4500703122406513E-2</v>
      </c>
      <c r="V414" s="10">
        <f t="shared" si="63"/>
        <v>0.87418001840060544</v>
      </c>
      <c r="W414" s="10">
        <f t="shared" si="64"/>
        <v>0.87418001840060544</v>
      </c>
      <c r="X414" s="6">
        <f t="shared" si="65"/>
        <v>0.87418001840060544</v>
      </c>
      <c r="Y414" s="5">
        <f t="shared" si="66"/>
        <v>0</v>
      </c>
      <c r="Z414" s="10">
        <f t="shared" si="67"/>
        <v>-0.54500703122406513</v>
      </c>
      <c r="AA414" s="10">
        <f t="shared" si="68"/>
        <v>8.7418001840060544</v>
      </c>
      <c r="AB414" s="10">
        <f t="shared" si="69"/>
        <v>8.7418001840060544</v>
      </c>
      <c r="AC414" s="6">
        <f t="shared" si="70"/>
        <v>8.7418001840060544</v>
      </c>
    </row>
    <row r="415" spans="1:29" x14ac:dyDescent="0.25">
      <c r="A415" t="s">
        <v>61</v>
      </c>
      <c r="B415" t="s">
        <v>281</v>
      </c>
      <c r="C415" s="1" t="s">
        <v>17</v>
      </c>
      <c r="D415">
        <v>0</v>
      </c>
      <c r="E415">
        <v>4</v>
      </c>
      <c r="F415">
        <v>37</v>
      </c>
      <c r="G415">
        <v>37</v>
      </c>
      <c r="H415">
        <v>37</v>
      </c>
      <c r="I415" s="1">
        <v>45397</v>
      </c>
      <c r="J415" s="1">
        <v>45401</v>
      </c>
      <c r="K415" s="1">
        <v>45434</v>
      </c>
      <c r="L415" s="1">
        <v>45434</v>
      </c>
      <c r="M415" s="1">
        <v>45434</v>
      </c>
      <c r="N415" s="5">
        <v>477.01998901367188</v>
      </c>
      <c r="P415">
        <v>476.760009765625</v>
      </c>
      <c r="Q415">
        <v>481.19000244140619</v>
      </c>
      <c r="R415">
        <v>481.19000244140619</v>
      </c>
      <c r="S415" s="6">
        <v>481.19000244140619</v>
      </c>
      <c r="T415" s="5">
        <f t="shared" si="61"/>
        <v>0</v>
      </c>
      <c r="U415" s="10">
        <f t="shared" si="62"/>
        <v>-5.4500703122406513E-2</v>
      </c>
      <c r="V415" s="10">
        <f t="shared" si="63"/>
        <v>0.87418001840060544</v>
      </c>
      <c r="W415" s="10">
        <f t="shared" si="64"/>
        <v>0.87418001840060544</v>
      </c>
      <c r="X415" s="6">
        <f t="shared" si="65"/>
        <v>0.87418001840060544</v>
      </c>
      <c r="Y415" s="5">
        <f t="shared" si="66"/>
        <v>0</v>
      </c>
      <c r="Z415" s="10">
        <f t="shared" si="67"/>
        <v>-0.54500703122406513</v>
      </c>
      <c r="AA415" s="10">
        <f t="shared" si="68"/>
        <v>8.7418001840060544</v>
      </c>
      <c r="AB415" s="10">
        <f t="shared" si="69"/>
        <v>8.7418001840060544</v>
      </c>
      <c r="AC415" s="6">
        <f t="shared" si="70"/>
        <v>8.7418001840060544</v>
      </c>
    </row>
    <row r="416" spans="1:29" x14ac:dyDescent="0.25">
      <c r="A416" t="s">
        <v>61</v>
      </c>
      <c r="B416" t="s">
        <v>281</v>
      </c>
      <c r="C416" s="1" t="s">
        <v>17</v>
      </c>
      <c r="D416">
        <v>0</v>
      </c>
      <c r="E416">
        <v>4</v>
      </c>
      <c r="F416">
        <v>37</v>
      </c>
      <c r="G416">
        <v>37</v>
      </c>
      <c r="H416">
        <v>37</v>
      </c>
      <c r="I416" s="1">
        <v>45397</v>
      </c>
      <c r="J416" s="1">
        <v>45401</v>
      </c>
      <c r="K416" s="1">
        <v>45434</v>
      </c>
      <c r="L416" s="1">
        <v>45434</v>
      </c>
      <c r="M416" s="1">
        <v>45434</v>
      </c>
      <c r="N416" s="5">
        <v>477.01998901367188</v>
      </c>
      <c r="P416">
        <v>476.760009765625</v>
      </c>
      <c r="Q416">
        <v>481.19000244140619</v>
      </c>
      <c r="R416">
        <v>481.19000244140619</v>
      </c>
      <c r="S416" s="6">
        <v>481.19000244140619</v>
      </c>
      <c r="T416" s="5">
        <f t="shared" si="61"/>
        <v>0</v>
      </c>
      <c r="U416" s="10">
        <f t="shared" si="62"/>
        <v>-5.4500703122406513E-2</v>
      </c>
      <c r="V416" s="10">
        <f t="shared" si="63"/>
        <v>0.87418001840060544</v>
      </c>
      <c r="W416" s="10">
        <f t="shared" si="64"/>
        <v>0.87418001840060544</v>
      </c>
      <c r="X416" s="6">
        <f t="shared" si="65"/>
        <v>0.87418001840060544</v>
      </c>
      <c r="Y416" s="5">
        <f t="shared" si="66"/>
        <v>0</v>
      </c>
      <c r="Z416" s="10">
        <f t="shared" si="67"/>
        <v>-0.54500703122406513</v>
      </c>
      <c r="AA416" s="10">
        <f t="shared" si="68"/>
        <v>8.7418001840060544</v>
      </c>
      <c r="AB416" s="10">
        <f t="shared" si="69"/>
        <v>8.7418001840060544</v>
      </c>
      <c r="AC416" s="6">
        <f t="shared" si="70"/>
        <v>8.7418001840060544</v>
      </c>
    </row>
    <row r="417" spans="1:29" x14ac:dyDescent="0.25">
      <c r="A417" t="s">
        <v>61</v>
      </c>
      <c r="B417" t="s">
        <v>266</v>
      </c>
      <c r="C417" s="1" t="s">
        <v>17</v>
      </c>
      <c r="D417">
        <v>0</v>
      </c>
      <c r="E417">
        <v>37</v>
      </c>
      <c r="F417">
        <v>0</v>
      </c>
      <c r="G417">
        <v>0</v>
      </c>
      <c r="H417">
        <v>0</v>
      </c>
      <c r="I417" s="1">
        <v>45397</v>
      </c>
      <c r="J417" s="1">
        <v>45434</v>
      </c>
      <c r="K417" s="1">
        <v>45397</v>
      </c>
      <c r="L417" s="1">
        <v>45397</v>
      </c>
      <c r="M417" s="1">
        <v>45397</v>
      </c>
      <c r="N417" s="5">
        <v>35.050058744847092</v>
      </c>
      <c r="P417">
        <v>32.733667439425993</v>
      </c>
      <c r="S417" s="6"/>
      <c r="T417" s="5">
        <f t="shared" si="61"/>
        <v>0</v>
      </c>
      <c r="U417" s="10">
        <f t="shared" si="62"/>
        <v>-6.6088086250686962</v>
      </c>
      <c r="V417" s="10">
        <f t="shared" si="63"/>
        <v>0</v>
      </c>
      <c r="W417" s="10">
        <f t="shared" si="64"/>
        <v>0</v>
      </c>
      <c r="X417" s="6">
        <f t="shared" si="65"/>
        <v>0</v>
      </c>
      <c r="Y417" s="5">
        <f t="shared" si="66"/>
        <v>0</v>
      </c>
      <c r="Z417" s="10">
        <f t="shared" si="67"/>
        <v>-66.08808625068697</v>
      </c>
      <c r="AA417" s="10">
        <f t="shared" si="68"/>
        <v>0</v>
      </c>
      <c r="AB417" s="10">
        <f t="shared" si="69"/>
        <v>0</v>
      </c>
      <c r="AC417" s="6">
        <f t="shared" si="70"/>
        <v>0</v>
      </c>
    </row>
    <row r="418" spans="1:29" x14ac:dyDescent="0.25">
      <c r="A418" t="s">
        <v>61</v>
      </c>
      <c r="B418" t="s">
        <v>96</v>
      </c>
      <c r="C418" s="1" t="s">
        <v>17</v>
      </c>
      <c r="D418">
        <v>0</v>
      </c>
      <c r="E418">
        <v>0</v>
      </c>
      <c r="F418">
        <v>0</v>
      </c>
      <c r="G418">
        <v>0</v>
      </c>
      <c r="H418">
        <v>0</v>
      </c>
      <c r="I418" s="1">
        <v>45397</v>
      </c>
      <c r="J418" s="1">
        <v>45397</v>
      </c>
      <c r="K418" s="1">
        <v>45397</v>
      </c>
      <c r="L418" s="1">
        <v>45397</v>
      </c>
      <c r="M418" s="1">
        <v>45397</v>
      </c>
      <c r="N418" s="5"/>
      <c r="S418" s="6"/>
      <c r="T418" s="5">
        <f t="shared" si="61"/>
        <v>0</v>
      </c>
      <c r="U418" s="10">
        <f t="shared" si="62"/>
        <v>0</v>
      </c>
      <c r="V418" s="10">
        <f t="shared" si="63"/>
        <v>0</v>
      </c>
      <c r="W418" s="10">
        <f t="shared" si="64"/>
        <v>0</v>
      </c>
      <c r="X418" s="6">
        <f t="shared" si="65"/>
        <v>0</v>
      </c>
      <c r="Y418" s="5">
        <f t="shared" si="66"/>
        <v>0</v>
      </c>
      <c r="Z418" s="10">
        <f t="shared" si="67"/>
        <v>0</v>
      </c>
      <c r="AA418" s="10">
        <f t="shared" si="68"/>
        <v>0</v>
      </c>
      <c r="AB418" s="10">
        <f t="shared" si="69"/>
        <v>0</v>
      </c>
      <c r="AC418" s="6">
        <f t="shared" si="70"/>
        <v>0</v>
      </c>
    </row>
    <row r="419" spans="1:29" x14ac:dyDescent="0.25">
      <c r="A419" t="s">
        <v>61</v>
      </c>
      <c r="B419" t="s">
        <v>119</v>
      </c>
      <c r="C419" s="1" t="s">
        <v>17</v>
      </c>
      <c r="D419">
        <v>0</v>
      </c>
      <c r="E419">
        <v>0</v>
      </c>
      <c r="F419">
        <v>0</v>
      </c>
      <c r="G419">
        <v>0</v>
      </c>
      <c r="H419">
        <v>0</v>
      </c>
      <c r="I419" s="1">
        <v>45397</v>
      </c>
      <c r="J419" s="1">
        <v>45397</v>
      </c>
      <c r="K419" s="1">
        <v>45397</v>
      </c>
      <c r="L419" s="1">
        <v>45397</v>
      </c>
      <c r="M419" s="1">
        <v>45397</v>
      </c>
      <c r="N419" s="5"/>
      <c r="S419" s="6"/>
      <c r="T419" s="5">
        <f t="shared" si="61"/>
        <v>0</v>
      </c>
      <c r="U419" s="10">
        <f t="shared" si="62"/>
        <v>0</v>
      </c>
      <c r="V419" s="10">
        <f t="shared" si="63"/>
        <v>0</v>
      </c>
      <c r="W419" s="10">
        <f t="shared" si="64"/>
        <v>0</v>
      </c>
      <c r="X419" s="6">
        <f t="shared" si="65"/>
        <v>0</v>
      </c>
      <c r="Y419" s="5">
        <f t="shared" si="66"/>
        <v>0</v>
      </c>
      <c r="Z419" s="10">
        <f t="shared" si="67"/>
        <v>0</v>
      </c>
      <c r="AA419" s="10">
        <f t="shared" si="68"/>
        <v>0</v>
      </c>
      <c r="AB419" s="10">
        <f t="shared" si="69"/>
        <v>0</v>
      </c>
      <c r="AC419" s="6">
        <f t="shared" si="70"/>
        <v>0</v>
      </c>
    </row>
    <row r="420" spans="1:29" x14ac:dyDescent="0.25">
      <c r="A420" t="s">
        <v>102</v>
      </c>
      <c r="B420" t="s">
        <v>296</v>
      </c>
      <c r="C420" s="1" t="s">
        <v>17</v>
      </c>
      <c r="D420">
        <v>0</v>
      </c>
      <c r="E420">
        <v>0</v>
      </c>
      <c r="F420">
        <v>0</v>
      </c>
      <c r="G420">
        <v>0</v>
      </c>
      <c r="H420">
        <v>0</v>
      </c>
      <c r="I420" s="1">
        <v>45397</v>
      </c>
      <c r="J420" s="1">
        <v>45397</v>
      </c>
      <c r="K420" s="1">
        <v>45397</v>
      </c>
      <c r="L420" s="1">
        <v>45397</v>
      </c>
      <c r="M420" s="1">
        <v>45397</v>
      </c>
      <c r="N420" s="5"/>
      <c r="S420" s="6"/>
      <c r="T420" s="5">
        <f t="shared" si="61"/>
        <v>0</v>
      </c>
      <c r="U420" s="10">
        <f t="shared" si="62"/>
        <v>0</v>
      </c>
      <c r="V420" s="10">
        <f t="shared" si="63"/>
        <v>0</v>
      </c>
      <c r="W420" s="10">
        <f t="shared" si="64"/>
        <v>0</v>
      </c>
      <c r="X420" s="6">
        <f t="shared" si="65"/>
        <v>0</v>
      </c>
      <c r="Y420" s="5">
        <f t="shared" si="66"/>
        <v>0</v>
      </c>
      <c r="Z420" s="10">
        <f t="shared" si="67"/>
        <v>0</v>
      </c>
      <c r="AA420" s="10">
        <f t="shared" si="68"/>
        <v>0</v>
      </c>
      <c r="AB420" s="10">
        <f t="shared" si="69"/>
        <v>0</v>
      </c>
      <c r="AC420" s="6">
        <f t="shared" si="70"/>
        <v>0</v>
      </c>
    </row>
    <row r="421" spans="1:29" x14ac:dyDescent="0.25">
      <c r="A421" t="s">
        <v>102</v>
      </c>
      <c r="B421" t="s">
        <v>254</v>
      </c>
      <c r="C421" s="1" t="s">
        <v>17</v>
      </c>
      <c r="D421">
        <v>0</v>
      </c>
      <c r="E421">
        <v>0</v>
      </c>
      <c r="F421">
        <v>0</v>
      </c>
      <c r="G421">
        <v>0</v>
      </c>
      <c r="H421">
        <v>0</v>
      </c>
      <c r="I421" s="1">
        <v>45397</v>
      </c>
      <c r="J421" s="1">
        <v>45397</v>
      </c>
      <c r="K421" s="1">
        <v>45397</v>
      </c>
      <c r="L421" s="1">
        <v>45397</v>
      </c>
      <c r="M421" s="1">
        <v>45397</v>
      </c>
      <c r="N421" s="5"/>
      <c r="S421" s="6"/>
      <c r="T421" s="5">
        <f t="shared" si="61"/>
        <v>0</v>
      </c>
      <c r="U421" s="10">
        <f t="shared" si="62"/>
        <v>0</v>
      </c>
      <c r="V421" s="10">
        <f t="shared" si="63"/>
        <v>0</v>
      </c>
      <c r="W421" s="10">
        <f t="shared" si="64"/>
        <v>0</v>
      </c>
      <c r="X421" s="6">
        <f t="shared" si="65"/>
        <v>0</v>
      </c>
      <c r="Y421" s="5">
        <f t="shared" si="66"/>
        <v>0</v>
      </c>
      <c r="Z421" s="10">
        <f t="shared" si="67"/>
        <v>0</v>
      </c>
      <c r="AA421" s="10">
        <f t="shared" si="68"/>
        <v>0</v>
      </c>
      <c r="AB421" s="10">
        <f t="shared" si="69"/>
        <v>0</v>
      </c>
      <c r="AC421" s="6">
        <f t="shared" si="70"/>
        <v>0</v>
      </c>
    </row>
    <row r="422" spans="1:29" x14ac:dyDescent="0.25">
      <c r="A422" t="s">
        <v>102</v>
      </c>
      <c r="B422" t="s">
        <v>254</v>
      </c>
      <c r="C422" s="1" t="s">
        <v>17</v>
      </c>
      <c r="D422">
        <v>0</v>
      </c>
      <c r="E422">
        <v>0</v>
      </c>
      <c r="F422">
        <v>0</v>
      </c>
      <c r="G422">
        <v>0</v>
      </c>
      <c r="H422">
        <v>0</v>
      </c>
      <c r="I422" s="1">
        <v>45397</v>
      </c>
      <c r="J422" s="1">
        <v>45397</v>
      </c>
      <c r="K422" s="1">
        <v>45397</v>
      </c>
      <c r="L422" s="1">
        <v>45397</v>
      </c>
      <c r="M422" s="1">
        <v>45397</v>
      </c>
      <c r="N422" s="5"/>
      <c r="S422" s="6"/>
      <c r="T422" s="5">
        <f t="shared" si="61"/>
        <v>0</v>
      </c>
      <c r="U422" s="10">
        <f t="shared" si="62"/>
        <v>0</v>
      </c>
      <c r="V422" s="10">
        <f t="shared" si="63"/>
        <v>0</v>
      </c>
      <c r="W422" s="10">
        <f t="shared" si="64"/>
        <v>0</v>
      </c>
      <c r="X422" s="6">
        <f t="shared" si="65"/>
        <v>0</v>
      </c>
      <c r="Y422" s="5">
        <f t="shared" si="66"/>
        <v>0</v>
      </c>
      <c r="Z422" s="10">
        <f t="shared" si="67"/>
        <v>0</v>
      </c>
      <c r="AA422" s="10">
        <f t="shared" si="68"/>
        <v>0</v>
      </c>
      <c r="AB422" s="10">
        <f t="shared" si="69"/>
        <v>0</v>
      </c>
      <c r="AC422" s="6">
        <f t="shared" si="70"/>
        <v>0</v>
      </c>
    </row>
    <row r="423" spans="1:29" x14ac:dyDescent="0.25">
      <c r="A423" t="s">
        <v>102</v>
      </c>
      <c r="B423" t="s">
        <v>297</v>
      </c>
      <c r="C423" s="1" t="s">
        <v>17</v>
      </c>
      <c r="D423">
        <v>0</v>
      </c>
      <c r="E423">
        <v>0</v>
      </c>
      <c r="F423">
        <v>0</v>
      </c>
      <c r="G423">
        <v>0</v>
      </c>
      <c r="H423">
        <v>0</v>
      </c>
      <c r="I423" s="1">
        <v>45397</v>
      </c>
      <c r="J423" s="1">
        <v>45397</v>
      </c>
      <c r="K423" s="1">
        <v>45397</v>
      </c>
      <c r="L423" s="1">
        <v>45397</v>
      </c>
      <c r="M423" s="1">
        <v>45397</v>
      </c>
      <c r="N423" s="5"/>
      <c r="S423" s="6"/>
      <c r="T423" s="5">
        <f t="shared" si="61"/>
        <v>0</v>
      </c>
      <c r="U423" s="10">
        <f t="shared" si="62"/>
        <v>0</v>
      </c>
      <c r="V423" s="10">
        <f t="shared" si="63"/>
        <v>0</v>
      </c>
      <c r="W423" s="10">
        <f t="shared" si="64"/>
        <v>0</v>
      </c>
      <c r="X423" s="6">
        <f t="shared" si="65"/>
        <v>0</v>
      </c>
      <c r="Y423" s="5">
        <f t="shared" si="66"/>
        <v>0</v>
      </c>
      <c r="Z423" s="10">
        <f t="shared" si="67"/>
        <v>0</v>
      </c>
      <c r="AA423" s="10">
        <f t="shared" si="68"/>
        <v>0</v>
      </c>
      <c r="AB423" s="10">
        <f t="shared" si="69"/>
        <v>0</v>
      </c>
      <c r="AC423" s="6">
        <f t="shared" si="70"/>
        <v>0</v>
      </c>
    </row>
    <row r="424" spans="1:29" x14ac:dyDescent="0.25">
      <c r="A424" t="s">
        <v>102</v>
      </c>
      <c r="B424" t="s">
        <v>124</v>
      </c>
      <c r="C424" s="1" t="s">
        <v>17</v>
      </c>
      <c r="D424">
        <v>0</v>
      </c>
      <c r="E424">
        <v>0</v>
      </c>
      <c r="F424">
        <v>0</v>
      </c>
      <c r="G424">
        <v>0</v>
      </c>
      <c r="H424">
        <v>0</v>
      </c>
      <c r="I424" s="1">
        <v>45397</v>
      </c>
      <c r="J424" s="1">
        <v>45397</v>
      </c>
      <c r="K424" s="1">
        <v>45397</v>
      </c>
      <c r="L424" s="1">
        <v>45397</v>
      </c>
      <c r="M424" s="1">
        <v>45397</v>
      </c>
      <c r="N424" s="5"/>
      <c r="S424" s="6"/>
      <c r="T424" s="5">
        <f t="shared" si="61"/>
        <v>0</v>
      </c>
      <c r="U424" s="10">
        <f t="shared" si="62"/>
        <v>0</v>
      </c>
      <c r="V424" s="10">
        <f t="shared" si="63"/>
        <v>0</v>
      </c>
      <c r="W424" s="10">
        <f t="shared" si="64"/>
        <v>0</v>
      </c>
      <c r="X424" s="6">
        <f t="shared" si="65"/>
        <v>0</v>
      </c>
      <c r="Y424" s="5">
        <f t="shared" si="66"/>
        <v>0</v>
      </c>
      <c r="Z424" s="10">
        <f t="shared" si="67"/>
        <v>0</v>
      </c>
      <c r="AA424" s="10">
        <f t="shared" si="68"/>
        <v>0</v>
      </c>
      <c r="AB424" s="10">
        <f t="shared" si="69"/>
        <v>0</v>
      </c>
      <c r="AC424" s="6">
        <f t="shared" si="70"/>
        <v>0</v>
      </c>
    </row>
    <row r="425" spans="1:29" x14ac:dyDescent="0.25">
      <c r="A425" t="s">
        <v>298</v>
      </c>
      <c r="B425" t="s">
        <v>299</v>
      </c>
      <c r="C425" s="1" t="s">
        <v>18</v>
      </c>
      <c r="D425">
        <v>0</v>
      </c>
      <c r="E425">
        <v>0</v>
      </c>
      <c r="F425">
        <v>0</v>
      </c>
      <c r="G425">
        <v>0</v>
      </c>
      <c r="H425">
        <v>0</v>
      </c>
      <c r="I425" s="1">
        <v>45394</v>
      </c>
      <c r="J425" s="1">
        <v>45394</v>
      </c>
      <c r="K425" s="1">
        <v>45394</v>
      </c>
      <c r="L425" s="1">
        <v>45394</v>
      </c>
      <c r="M425" s="1">
        <v>45394</v>
      </c>
      <c r="N425" s="5"/>
      <c r="S425" s="6"/>
      <c r="T425" s="5">
        <f t="shared" si="61"/>
        <v>0</v>
      </c>
      <c r="U425" s="10">
        <f t="shared" si="62"/>
        <v>0</v>
      </c>
      <c r="V425" s="10">
        <f t="shared" si="63"/>
        <v>0</v>
      </c>
      <c r="W425" s="10">
        <f t="shared" si="64"/>
        <v>0</v>
      </c>
      <c r="X425" s="6">
        <f t="shared" si="65"/>
        <v>0</v>
      </c>
      <c r="Y425" s="5">
        <f t="shared" si="66"/>
        <v>0</v>
      </c>
      <c r="Z425" s="10">
        <f t="shared" si="67"/>
        <v>0</v>
      </c>
      <c r="AA425" s="10">
        <f t="shared" si="68"/>
        <v>0</v>
      </c>
      <c r="AB425" s="10">
        <f t="shared" si="69"/>
        <v>0</v>
      </c>
      <c r="AC425" s="6">
        <f t="shared" si="70"/>
        <v>0</v>
      </c>
    </row>
    <row r="426" spans="1:29" x14ac:dyDescent="0.25">
      <c r="A426" t="s">
        <v>298</v>
      </c>
      <c r="B426" t="s">
        <v>300</v>
      </c>
      <c r="C426" s="1" t="s">
        <v>18</v>
      </c>
      <c r="D426">
        <v>0</v>
      </c>
      <c r="E426">
        <v>0</v>
      </c>
      <c r="F426">
        <v>0</v>
      </c>
      <c r="G426">
        <v>0</v>
      </c>
      <c r="H426">
        <v>14</v>
      </c>
      <c r="I426" s="1">
        <v>45394</v>
      </c>
      <c r="J426" s="1">
        <v>45394</v>
      </c>
      <c r="K426" s="1">
        <v>45394</v>
      </c>
      <c r="L426" s="1">
        <v>45394</v>
      </c>
      <c r="M426" s="1">
        <v>45408</v>
      </c>
      <c r="N426" s="5">
        <v>22.493278329236389</v>
      </c>
      <c r="S426" s="6">
        <v>21.02877395625368</v>
      </c>
      <c r="T426" s="5">
        <f t="shared" si="61"/>
        <v>0</v>
      </c>
      <c r="U426" s="10">
        <f t="shared" si="62"/>
        <v>0</v>
      </c>
      <c r="V426" s="10">
        <f t="shared" si="63"/>
        <v>0</v>
      </c>
      <c r="W426" s="10">
        <f t="shared" si="64"/>
        <v>0</v>
      </c>
      <c r="X426" s="6">
        <f t="shared" si="65"/>
        <v>-6.5108533827155419</v>
      </c>
      <c r="Y426" s="5">
        <f t="shared" si="66"/>
        <v>0</v>
      </c>
      <c r="Z426" s="10">
        <f t="shared" si="67"/>
        <v>0</v>
      </c>
      <c r="AA426" s="10">
        <f t="shared" si="68"/>
        <v>0</v>
      </c>
      <c r="AB426" s="10">
        <f t="shared" si="69"/>
        <v>0</v>
      </c>
      <c r="AC426" s="6">
        <f t="shared" si="70"/>
        <v>-65.108533827155412</v>
      </c>
    </row>
    <row r="427" spans="1:29" x14ac:dyDescent="0.25">
      <c r="A427" t="s">
        <v>298</v>
      </c>
      <c r="B427" t="s">
        <v>71</v>
      </c>
      <c r="C427" s="1" t="s">
        <v>18</v>
      </c>
      <c r="D427">
        <v>0</v>
      </c>
      <c r="E427">
        <v>0</v>
      </c>
      <c r="F427">
        <v>0</v>
      </c>
      <c r="G427">
        <v>0</v>
      </c>
      <c r="H427">
        <v>0</v>
      </c>
      <c r="I427" s="1">
        <v>45394</v>
      </c>
      <c r="J427" s="1">
        <v>45394</v>
      </c>
      <c r="K427" s="1">
        <v>45394</v>
      </c>
      <c r="L427" s="1">
        <v>45394</v>
      </c>
      <c r="M427" s="1">
        <v>45394</v>
      </c>
      <c r="N427" s="5"/>
      <c r="S427" s="6"/>
      <c r="T427" s="5">
        <f t="shared" si="61"/>
        <v>0</v>
      </c>
      <c r="U427" s="10">
        <f t="shared" si="62"/>
        <v>0</v>
      </c>
      <c r="V427" s="10">
        <f t="shared" si="63"/>
        <v>0</v>
      </c>
      <c r="W427" s="10">
        <f t="shared" si="64"/>
        <v>0</v>
      </c>
      <c r="X427" s="6">
        <f t="shared" si="65"/>
        <v>0</v>
      </c>
      <c r="Y427" s="5">
        <f t="shared" si="66"/>
        <v>0</v>
      </c>
      <c r="Z427" s="10">
        <f t="shared" si="67"/>
        <v>0</v>
      </c>
      <c r="AA427" s="10">
        <f t="shared" si="68"/>
        <v>0</v>
      </c>
      <c r="AB427" s="10">
        <f t="shared" si="69"/>
        <v>0</v>
      </c>
      <c r="AC427" s="6">
        <f t="shared" si="70"/>
        <v>0</v>
      </c>
    </row>
    <row r="428" spans="1:29" x14ac:dyDescent="0.25">
      <c r="A428" t="s">
        <v>298</v>
      </c>
      <c r="B428" t="s">
        <v>301</v>
      </c>
      <c r="C428" s="1" t="s">
        <v>18</v>
      </c>
      <c r="D428">
        <v>0</v>
      </c>
      <c r="E428">
        <v>0</v>
      </c>
      <c r="F428">
        <v>0</v>
      </c>
      <c r="G428">
        <v>0</v>
      </c>
      <c r="H428">
        <v>0</v>
      </c>
      <c r="I428" s="1">
        <v>45394</v>
      </c>
      <c r="J428" s="1">
        <v>45394</v>
      </c>
      <c r="K428" s="1">
        <v>45394</v>
      </c>
      <c r="L428" s="1">
        <v>45394</v>
      </c>
      <c r="M428" s="1">
        <v>45394</v>
      </c>
      <c r="N428" s="5"/>
      <c r="S428" s="6"/>
      <c r="T428" s="5">
        <f t="shared" si="61"/>
        <v>0</v>
      </c>
      <c r="U428" s="10">
        <f t="shared" si="62"/>
        <v>0</v>
      </c>
      <c r="V428" s="10">
        <f t="shared" si="63"/>
        <v>0</v>
      </c>
      <c r="W428" s="10">
        <f t="shared" si="64"/>
        <v>0</v>
      </c>
      <c r="X428" s="6">
        <f t="shared" si="65"/>
        <v>0</v>
      </c>
      <c r="Y428" s="5">
        <f t="shared" si="66"/>
        <v>0</v>
      </c>
      <c r="Z428" s="10">
        <f t="shared" si="67"/>
        <v>0</v>
      </c>
      <c r="AA428" s="10">
        <f t="shared" si="68"/>
        <v>0</v>
      </c>
      <c r="AB428" s="10">
        <f t="shared" si="69"/>
        <v>0</v>
      </c>
      <c r="AC428" s="6">
        <f t="shared" si="70"/>
        <v>0</v>
      </c>
    </row>
    <row r="429" spans="1:29" x14ac:dyDescent="0.25">
      <c r="A429" t="s">
        <v>298</v>
      </c>
      <c r="B429" t="s">
        <v>70</v>
      </c>
      <c r="C429" s="1" t="s">
        <v>18</v>
      </c>
      <c r="D429">
        <v>0</v>
      </c>
      <c r="E429">
        <v>0</v>
      </c>
      <c r="F429">
        <v>0</v>
      </c>
      <c r="G429">
        <v>0</v>
      </c>
      <c r="H429">
        <v>0</v>
      </c>
      <c r="I429" s="1">
        <v>45394</v>
      </c>
      <c r="J429" s="1">
        <v>45394</v>
      </c>
      <c r="K429" s="1">
        <v>45394</v>
      </c>
      <c r="L429" s="1">
        <v>45394</v>
      </c>
      <c r="M429" s="1">
        <v>45394</v>
      </c>
      <c r="N429" s="5"/>
      <c r="S429" s="6"/>
      <c r="T429" s="5">
        <f t="shared" si="61"/>
        <v>0</v>
      </c>
      <c r="U429" s="10">
        <f t="shared" si="62"/>
        <v>0</v>
      </c>
      <c r="V429" s="10">
        <f t="shared" si="63"/>
        <v>0</v>
      </c>
      <c r="W429" s="10">
        <f t="shared" si="64"/>
        <v>0</v>
      </c>
      <c r="X429" s="6">
        <f t="shared" si="65"/>
        <v>0</v>
      </c>
      <c r="Y429" s="5">
        <f t="shared" si="66"/>
        <v>0</v>
      </c>
      <c r="Z429" s="10">
        <f t="shared" si="67"/>
        <v>0</v>
      </c>
      <c r="AA429" s="10">
        <f t="shared" si="68"/>
        <v>0</v>
      </c>
      <c r="AB429" s="10">
        <f t="shared" si="69"/>
        <v>0</v>
      </c>
      <c r="AC429" s="6">
        <f t="shared" si="70"/>
        <v>0</v>
      </c>
    </row>
    <row r="430" spans="1:29" x14ac:dyDescent="0.25">
      <c r="A430" t="s">
        <v>298</v>
      </c>
      <c r="B430" t="s">
        <v>302</v>
      </c>
      <c r="C430" s="1" t="s">
        <v>18</v>
      </c>
      <c r="D430">
        <v>0</v>
      </c>
      <c r="E430">
        <v>0</v>
      </c>
      <c r="F430">
        <v>0</v>
      </c>
      <c r="G430">
        <v>0</v>
      </c>
      <c r="H430">
        <v>0</v>
      </c>
      <c r="I430" s="1">
        <v>45394</v>
      </c>
      <c r="J430" s="1">
        <v>45394</v>
      </c>
      <c r="K430" s="1">
        <v>45394</v>
      </c>
      <c r="L430" s="1">
        <v>45394</v>
      </c>
      <c r="M430" s="1">
        <v>45394</v>
      </c>
      <c r="N430" s="5"/>
      <c r="S430" s="6"/>
      <c r="T430" s="5">
        <f t="shared" si="61"/>
        <v>0</v>
      </c>
      <c r="U430" s="10">
        <f t="shared" si="62"/>
        <v>0</v>
      </c>
      <c r="V430" s="10">
        <f t="shared" si="63"/>
        <v>0</v>
      </c>
      <c r="W430" s="10">
        <f t="shared" si="64"/>
        <v>0</v>
      </c>
      <c r="X430" s="6">
        <f t="shared" si="65"/>
        <v>0</v>
      </c>
      <c r="Y430" s="5">
        <f t="shared" si="66"/>
        <v>0</v>
      </c>
      <c r="Z430" s="10">
        <f t="shared" si="67"/>
        <v>0</v>
      </c>
      <c r="AA430" s="10">
        <f t="shared" si="68"/>
        <v>0</v>
      </c>
      <c r="AB430" s="10">
        <f t="shared" si="69"/>
        <v>0</v>
      </c>
      <c r="AC430" s="6">
        <f t="shared" si="70"/>
        <v>0</v>
      </c>
    </row>
    <row r="431" spans="1:29" x14ac:dyDescent="0.25">
      <c r="A431" t="s">
        <v>303</v>
      </c>
      <c r="B431" t="s">
        <v>304</v>
      </c>
      <c r="C431" s="1" t="s">
        <v>19</v>
      </c>
      <c r="D431">
        <v>0</v>
      </c>
      <c r="E431">
        <v>0</v>
      </c>
      <c r="F431">
        <v>0</v>
      </c>
      <c r="G431">
        <v>0</v>
      </c>
      <c r="H431">
        <v>0</v>
      </c>
      <c r="I431" s="1">
        <v>45393</v>
      </c>
      <c r="J431" s="1">
        <v>45393</v>
      </c>
      <c r="K431" s="1">
        <v>45393</v>
      </c>
      <c r="L431" s="1">
        <v>45393</v>
      </c>
      <c r="M431" s="1">
        <v>45393</v>
      </c>
      <c r="N431" s="5"/>
      <c r="S431" s="6"/>
      <c r="T431" s="5">
        <f t="shared" si="61"/>
        <v>0</v>
      </c>
      <c r="U431" s="10">
        <f t="shared" si="62"/>
        <v>0</v>
      </c>
      <c r="V431" s="10">
        <f t="shared" si="63"/>
        <v>0</v>
      </c>
      <c r="W431" s="10">
        <f t="shared" si="64"/>
        <v>0</v>
      </c>
      <c r="X431" s="6">
        <f t="shared" si="65"/>
        <v>0</v>
      </c>
      <c r="Y431" s="5">
        <f t="shared" si="66"/>
        <v>0</v>
      </c>
      <c r="Z431" s="10">
        <f t="shared" si="67"/>
        <v>0</v>
      </c>
      <c r="AA431" s="10">
        <f t="shared" si="68"/>
        <v>0</v>
      </c>
      <c r="AB431" s="10">
        <f t="shared" si="69"/>
        <v>0</v>
      </c>
      <c r="AC431" s="6">
        <f t="shared" si="70"/>
        <v>0</v>
      </c>
    </row>
    <row r="432" spans="1:29" x14ac:dyDescent="0.25">
      <c r="A432" t="s">
        <v>305</v>
      </c>
      <c r="B432" t="s">
        <v>198</v>
      </c>
      <c r="C432" s="1" t="s">
        <v>19</v>
      </c>
      <c r="D432">
        <v>0</v>
      </c>
      <c r="E432">
        <v>0</v>
      </c>
      <c r="F432">
        <v>0</v>
      </c>
      <c r="G432">
        <v>0</v>
      </c>
      <c r="H432">
        <v>0</v>
      </c>
      <c r="I432" s="1">
        <v>45393</v>
      </c>
      <c r="J432" s="1">
        <v>45393</v>
      </c>
      <c r="K432" s="1">
        <v>45393</v>
      </c>
      <c r="L432" s="1">
        <v>45393</v>
      </c>
      <c r="M432" s="1">
        <v>45393</v>
      </c>
      <c r="N432" s="5"/>
      <c r="S432" s="6"/>
      <c r="T432" s="5">
        <f t="shared" si="61"/>
        <v>0</v>
      </c>
      <c r="U432" s="10">
        <f t="shared" si="62"/>
        <v>0</v>
      </c>
      <c r="V432" s="10">
        <f t="shared" si="63"/>
        <v>0</v>
      </c>
      <c r="W432" s="10">
        <f t="shared" si="64"/>
        <v>0</v>
      </c>
      <c r="X432" s="6">
        <f t="shared" si="65"/>
        <v>0</v>
      </c>
      <c r="Y432" s="5">
        <f t="shared" si="66"/>
        <v>0</v>
      </c>
      <c r="Z432" s="10">
        <f t="shared" si="67"/>
        <v>0</v>
      </c>
      <c r="AA432" s="10">
        <f t="shared" si="68"/>
        <v>0</v>
      </c>
      <c r="AB432" s="10">
        <f t="shared" si="69"/>
        <v>0</v>
      </c>
      <c r="AC432" s="6">
        <f t="shared" si="70"/>
        <v>0</v>
      </c>
    </row>
    <row r="433" spans="1:29" x14ac:dyDescent="0.25">
      <c r="A433" t="s">
        <v>305</v>
      </c>
      <c r="B433" t="s">
        <v>116</v>
      </c>
      <c r="C433" s="1" t="s">
        <v>19</v>
      </c>
      <c r="D433">
        <v>0</v>
      </c>
      <c r="E433">
        <v>0</v>
      </c>
      <c r="F433">
        <v>0</v>
      </c>
      <c r="G433">
        <v>0</v>
      </c>
      <c r="H433">
        <v>0</v>
      </c>
      <c r="I433" s="1">
        <v>45393</v>
      </c>
      <c r="J433" s="1">
        <v>45393</v>
      </c>
      <c r="K433" s="1">
        <v>45393</v>
      </c>
      <c r="L433" s="1">
        <v>45393</v>
      </c>
      <c r="M433" s="1">
        <v>45393</v>
      </c>
      <c r="N433" s="5"/>
      <c r="S433" s="6"/>
      <c r="T433" s="5">
        <f t="shared" si="61"/>
        <v>0</v>
      </c>
      <c r="U433" s="10">
        <f t="shared" si="62"/>
        <v>0</v>
      </c>
      <c r="V433" s="10">
        <f t="shared" si="63"/>
        <v>0</v>
      </c>
      <c r="W433" s="10">
        <f t="shared" si="64"/>
        <v>0</v>
      </c>
      <c r="X433" s="6">
        <f t="shared" si="65"/>
        <v>0</v>
      </c>
      <c r="Y433" s="5">
        <f t="shared" si="66"/>
        <v>0</v>
      </c>
      <c r="Z433" s="10">
        <f t="shared" si="67"/>
        <v>0</v>
      </c>
      <c r="AA433" s="10">
        <f t="shared" si="68"/>
        <v>0</v>
      </c>
      <c r="AB433" s="10">
        <f t="shared" si="69"/>
        <v>0</v>
      </c>
      <c r="AC433" s="6">
        <f t="shared" si="70"/>
        <v>0</v>
      </c>
    </row>
    <row r="434" spans="1:29" x14ac:dyDescent="0.25">
      <c r="A434" t="s">
        <v>114</v>
      </c>
      <c r="B434" t="s">
        <v>270</v>
      </c>
      <c r="C434" s="1" t="s">
        <v>20</v>
      </c>
      <c r="D434">
        <v>0</v>
      </c>
      <c r="E434">
        <v>28</v>
      </c>
      <c r="F434">
        <v>0</v>
      </c>
      <c r="G434">
        <v>0</v>
      </c>
      <c r="H434">
        <v>0</v>
      </c>
      <c r="I434" s="1">
        <v>45391</v>
      </c>
      <c r="J434" s="1">
        <v>45419</v>
      </c>
      <c r="K434" s="1">
        <v>45391</v>
      </c>
      <c r="L434" s="1">
        <v>45391</v>
      </c>
      <c r="M434" s="1">
        <v>45391</v>
      </c>
      <c r="N434" s="5">
        <v>162.96188806865851</v>
      </c>
      <c r="P434">
        <v>169.21308610490709</v>
      </c>
      <c r="S434" s="6"/>
      <c r="T434" s="5">
        <f t="shared" si="61"/>
        <v>0</v>
      </c>
      <c r="U434" s="10">
        <f t="shared" si="62"/>
        <v>3.8359877332881931</v>
      </c>
      <c r="V434" s="10">
        <f t="shared" si="63"/>
        <v>0</v>
      </c>
      <c r="W434" s="10">
        <f t="shared" si="64"/>
        <v>0</v>
      </c>
      <c r="X434" s="6">
        <f t="shared" si="65"/>
        <v>0</v>
      </c>
      <c r="Y434" s="5">
        <f t="shared" si="66"/>
        <v>0</v>
      </c>
      <c r="Z434" s="10">
        <f t="shared" si="67"/>
        <v>38.359877332881929</v>
      </c>
      <c r="AA434" s="10">
        <f t="shared" si="68"/>
        <v>0</v>
      </c>
      <c r="AB434" s="10">
        <f t="shared" si="69"/>
        <v>0</v>
      </c>
      <c r="AC434" s="6">
        <f t="shared" si="70"/>
        <v>0</v>
      </c>
    </row>
    <row r="435" spans="1:29" x14ac:dyDescent="0.25">
      <c r="A435" t="s">
        <v>114</v>
      </c>
      <c r="B435" t="s">
        <v>306</v>
      </c>
      <c r="C435" s="1" t="s">
        <v>20</v>
      </c>
      <c r="D435">
        <v>0</v>
      </c>
      <c r="E435">
        <v>0</v>
      </c>
      <c r="F435">
        <v>0</v>
      </c>
      <c r="G435">
        <v>0</v>
      </c>
      <c r="H435">
        <v>0</v>
      </c>
      <c r="I435" s="1">
        <v>45391</v>
      </c>
      <c r="J435" s="1">
        <v>45391</v>
      </c>
      <c r="K435" s="1">
        <v>45391</v>
      </c>
      <c r="L435" s="1">
        <v>45391</v>
      </c>
      <c r="M435" s="1">
        <v>45391</v>
      </c>
      <c r="N435" s="5"/>
      <c r="S435" s="6"/>
      <c r="T435" s="5">
        <f t="shared" si="61"/>
        <v>0</v>
      </c>
      <c r="U435" s="10">
        <f t="shared" si="62"/>
        <v>0</v>
      </c>
      <c r="V435" s="10">
        <f t="shared" si="63"/>
        <v>0</v>
      </c>
      <c r="W435" s="10">
        <f t="shared" si="64"/>
        <v>0</v>
      </c>
      <c r="X435" s="6">
        <f t="shared" si="65"/>
        <v>0</v>
      </c>
      <c r="Y435" s="5">
        <f t="shared" si="66"/>
        <v>0</v>
      </c>
      <c r="Z435" s="10">
        <f t="shared" si="67"/>
        <v>0</v>
      </c>
      <c r="AA435" s="10">
        <f t="shared" si="68"/>
        <v>0</v>
      </c>
      <c r="AB435" s="10">
        <f t="shared" si="69"/>
        <v>0</v>
      </c>
      <c r="AC435" s="6">
        <f t="shared" si="70"/>
        <v>0</v>
      </c>
    </row>
    <row r="436" spans="1:29" x14ac:dyDescent="0.25">
      <c r="A436" t="s">
        <v>114</v>
      </c>
      <c r="B436" t="s">
        <v>88</v>
      </c>
      <c r="C436" s="1" t="s">
        <v>20</v>
      </c>
      <c r="D436">
        <v>0</v>
      </c>
      <c r="E436">
        <v>0</v>
      </c>
      <c r="F436">
        <v>0</v>
      </c>
      <c r="G436">
        <v>0</v>
      </c>
      <c r="H436">
        <v>14</v>
      </c>
      <c r="I436" s="1">
        <v>45391</v>
      </c>
      <c r="J436" s="1">
        <v>45391</v>
      </c>
      <c r="K436" s="1">
        <v>45391</v>
      </c>
      <c r="L436" s="1">
        <v>45391</v>
      </c>
      <c r="M436" s="1">
        <v>45405</v>
      </c>
      <c r="N436" s="5">
        <v>143.97627282823089</v>
      </c>
      <c r="S436" s="6">
        <v>127.8413421147626</v>
      </c>
      <c r="T436" s="5">
        <f t="shared" si="61"/>
        <v>0</v>
      </c>
      <c r="U436" s="10">
        <f t="shared" si="62"/>
        <v>0</v>
      </c>
      <c r="V436" s="10">
        <f t="shared" si="63"/>
        <v>0</v>
      </c>
      <c r="W436" s="10">
        <f t="shared" si="64"/>
        <v>0</v>
      </c>
      <c r="X436" s="6">
        <f t="shared" si="65"/>
        <v>-11.206659539463059</v>
      </c>
      <c r="Y436" s="5">
        <f t="shared" si="66"/>
        <v>0</v>
      </c>
      <c r="Z436" s="10">
        <f t="shared" si="67"/>
        <v>0</v>
      </c>
      <c r="AA436" s="10">
        <f t="shared" si="68"/>
        <v>0</v>
      </c>
      <c r="AB436" s="10">
        <f t="shared" si="69"/>
        <v>0</v>
      </c>
      <c r="AC436" s="6">
        <f t="shared" si="70"/>
        <v>-112.06659539463058</v>
      </c>
    </row>
    <row r="437" spans="1:29" x14ac:dyDescent="0.25">
      <c r="A437" t="s">
        <v>114</v>
      </c>
      <c r="B437" t="s">
        <v>67</v>
      </c>
      <c r="C437" s="1" t="s">
        <v>20</v>
      </c>
      <c r="D437">
        <v>36</v>
      </c>
      <c r="E437">
        <v>36</v>
      </c>
      <c r="F437">
        <v>0</v>
      </c>
      <c r="G437">
        <v>0</v>
      </c>
      <c r="H437">
        <v>0</v>
      </c>
      <c r="I437" s="1">
        <v>45427</v>
      </c>
      <c r="J437" s="1">
        <v>45427</v>
      </c>
      <c r="K437" s="1">
        <v>45391</v>
      </c>
      <c r="L437" s="1">
        <v>45391</v>
      </c>
      <c r="M437" s="1">
        <v>45391</v>
      </c>
      <c r="N437" s="5">
        <v>87.413269610837517</v>
      </c>
      <c r="O437">
        <v>89.569569712823935</v>
      </c>
      <c r="P437">
        <v>89.569569712823935</v>
      </c>
      <c r="S437" s="6"/>
      <c r="T437" s="5">
        <f t="shared" si="61"/>
        <v>2.4667880650000029</v>
      </c>
      <c r="U437" s="10">
        <f t="shared" si="62"/>
        <v>2.4667880650000029</v>
      </c>
      <c r="V437" s="10">
        <f t="shared" si="63"/>
        <v>0</v>
      </c>
      <c r="W437" s="10">
        <f t="shared" si="64"/>
        <v>0</v>
      </c>
      <c r="X437" s="6">
        <f t="shared" si="65"/>
        <v>0</v>
      </c>
      <c r="Y437" s="5">
        <f t="shared" si="66"/>
        <v>24.667880650000029</v>
      </c>
      <c r="Z437" s="10">
        <f t="shared" si="67"/>
        <v>24.667880650000029</v>
      </c>
      <c r="AA437" s="10">
        <f t="shared" si="68"/>
        <v>0</v>
      </c>
      <c r="AB437" s="10">
        <f t="shared" si="69"/>
        <v>0</v>
      </c>
      <c r="AC437" s="6">
        <f t="shared" si="70"/>
        <v>0</v>
      </c>
    </row>
    <row r="438" spans="1:29" x14ac:dyDescent="0.25">
      <c r="A438" t="s">
        <v>114</v>
      </c>
      <c r="B438" t="s">
        <v>121</v>
      </c>
      <c r="C438" s="1" t="s">
        <v>20</v>
      </c>
      <c r="D438">
        <v>0</v>
      </c>
      <c r="E438">
        <v>37</v>
      </c>
      <c r="F438">
        <v>0</v>
      </c>
      <c r="G438">
        <v>0</v>
      </c>
      <c r="H438">
        <v>0</v>
      </c>
      <c r="I438" s="1">
        <v>45391</v>
      </c>
      <c r="J438" s="1">
        <v>45428</v>
      </c>
      <c r="K438" s="1">
        <v>45391</v>
      </c>
      <c r="L438" s="1">
        <v>45391</v>
      </c>
      <c r="M438" s="1">
        <v>45391</v>
      </c>
      <c r="N438" s="5">
        <v>771.03968140195104</v>
      </c>
      <c r="P438">
        <v>758.95569141984561</v>
      </c>
      <c r="S438" s="6"/>
      <c r="T438" s="5">
        <f t="shared" si="61"/>
        <v>0</v>
      </c>
      <c r="U438" s="10">
        <f t="shared" si="62"/>
        <v>-1.567233214266428</v>
      </c>
      <c r="V438" s="10">
        <f t="shared" si="63"/>
        <v>0</v>
      </c>
      <c r="W438" s="10">
        <f t="shared" si="64"/>
        <v>0</v>
      </c>
      <c r="X438" s="6">
        <f t="shared" si="65"/>
        <v>0</v>
      </c>
      <c r="Y438" s="5">
        <f t="shared" si="66"/>
        <v>0</v>
      </c>
      <c r="Z438" s="10">
        <f t="shared" si="67"/>
        <v>-15.672332142664279</v>
      </c>
      <c r="AA438" s="10">
        <f t="shared" si="68"/>
        <v>0</v>
      </c>
      <c r="AB438" s="10">
        <f t="shared" si="69"/>
        <v>0</v>
      </c>
      <c r="AC438" s="6">
        <f t="shared" si="70"/>
        <v>0</v>
      </c>
    </row>
    <row r="439" spans="1:29" x14ac:dyDescent="0.25">
      <c r="A439" t="s">
        <v>114</v>
      </c>
      <c r="B439" t="s">
        <v>307</v>
      </c>
      <c r="C439" s="1" t="s">
        <v>20</v>
      </c>
      <c r="D439">
        <v>0</v>
      </c>
      <c r="E439">
        <v>0</v>
      </c>
      <c r="F439">
        <v>0</v>
      </c>
      <c r="G439">
        <v>0</v>
      </c>
      <c r="H439">
        <v>0</v>
      </c>
      <c r="I439" s="1">
        <v>45391</v>
      </c>
      <c r="J439" s="1">
        <v>45391</v>
      </c>
      <c r="K439" s="1">
        <v>45391</v>
      </c>
      <c r="L439" s="1">
        <v>45391</v>
      </c>
      <c r="M439" s="1">
        <v>45391</v>
      </c>
      <c r="N439" s="5"/>
      <c r="S439" s="6"/>
      <c r="T439" s="5">
        <f t="shared" si="61"/>
        <v>0</v>
      </c>
      <c r="U439" s="10">
        <f t="shared" si="62"/>
        <v>0</v>
      </c>
      <c r="V439" s="10">
        <f t="shared" si="63"/>
        <v>0</v>
      </c>
      <c r="W439" s="10">
        <f t="shared" si="64"/>
        <v>0</v>
      </c>
      <c r="X439" s="6">
        <f t="shared" si="65"/>
        <v>0</v>
      </c>
      <c r="Y439" s="5">
        <f t="shared" si="66"/>
        <v>0</v>
      </c>
      <c r="Z439" s="10">
        <f t="shared" si="67"/>
        <v>0</v>
      </c>
      <c r="AA439" s="10">
        <f t="shared" si="68"/>
        <v>0</v>
      </c>
      <c r="AB439" s="10">
        <f t="shared" si="69"/>
        <v>0</v>
      </c>
      <c r="AC439" s="6">
        <f t="shared" si="70"/>
        <v>0</v>
      </c>
    </row>
    <row r="440" spans="1:29" x14ac:dyDescent="0.25">
      <c r="A440" t="s">
        <v>114</v>
      </c>
      <c r="B440" t="s">
        <v>308</v>
      </c>
      <c r="C440" s="1" t="s">
        <v>20</v>
      </c>
      <c r="D440">
        <v>0</v>
      </c>
      <c r="E440">
        <v>36</v>
      </c>
      <c r="F440">
        <v>0</v>
      </c>
      <c r="G440">
        <v>0</v>
      </c>
      <c r="H440">
        <v>0</v>
      </c>
      <c r="I440" s="1">
        <v>45391</v>
      </c>
      <c r="J440" s="1">
        <v>45427</v>
      </c>
      <c r="K440" s="1">
        <v>45391</v>
      </c>
      <c r="L440" s="1">
        <v>45391</v>
      </c>
      <c r="M440" s="1">
        <v>45391</v>
      </c>
      <c r="N440" s="5">
        <v>326.55634614424889</v>
      </c>
      <c r="P440">
        <v>303.50319378025478</v>
      </c>
      <c r="S440" s="6"/>
      <c r="T440" s="5">
        <f t="shared" si="61"/>
        <v>0</v>
      </c>
      <c r="U440" s="10">
        <f t="shared" si="62"/>
        <v>-7.059471554048713</v>
      </c>
      <c r="V440" s="10">
        <f t="shared" si="63"/>
        <v>0</v>
      </c>
      <c r="W440" s="10">
        <f t="shared" si="64"/>
        <v>0</v>
      </c>
      <c r="X440" s="6">
        <f t="shared" si="65"/>
        <v>0</v>
      </c>
      <c r="Y440" s="5">
        <f t="shared" si="66"/>
        <v>0</v>
      </c>
      <c r="Z440" s="10">
        <f t="shared" si="67"/>
        <v>-70.59471554048713</v>
      </c>
      <c r="AA440" s="10">
        <f t="shared" si="68"/>
        <v>0</v>
      </c>
      <c r="AB440" s="10">
        <f t="shared" si="69"/>
        <v>0</v>
      </c>
      <c r="AC440" s="6">
        <f t="shared" si="70"/>
        <v>0</v>
      </c>
    </row>
    <row r="441" spans="1:29" x14ac:dyDescent="0.25">
      <c r="A441" t="s">
        <v>114</v>
      </c>
      <c r="B441" t="s">
        <v>78</v>
      </c>
      <c r="C441" s="1" t="s">
        <v>20</v>
      </c>
      <c r="D441">
        <v>0</v>
      </c>
      <c r="E441">
        <v>0</v>
      </c>
      <c r="F441">
        <v>0</v>
      </c>
      <c r="G441">
        <v>0</v>
      </c>
      <c r="H441">
        <v>0</v>
      </c>
      <c r="I441" s="1">
        <v>45391</v>
      </c>
      <c r="J441" s="1">
        <v>45391</v>
      </c>
      <c r="K441" s="1">
        <v>45391</v>
      </c>
      <c r="L441" s="1">
        <v>45391</v>
      </c>
      <c r="M441" s="1">
        <v>45391</v>
      </c>
      <c r="N441" s="5"/>
      <c r="S441" s="6"/>
      <c r="T441" s="5">
        <f t="shared" si="61"/>
        <v>0</v>
      </c>
      <c r="U441" s="10">
        <f t="shared" si="62"/>
        <v>0</v>
      </c>
      <c r="V441" s="10">
        <f t="shared" si="63"/>
        <v>0</v>
      </c>
      <c r="W441" s="10">
        <f t="shared" si="64"/>
        <v>0</v>
      </c>
      <c r="X441" s="6">
        <f t="shared" si="65"/>
        <v>0</v>
      </c>
      <c r="Y441" s="5">
        <f t="shared" si="66"/>
        <v>0</v>
      </c>
      <c r="Z441" s="10">
        <f t="shared" si="67"/>
        <v>0</v>
      </c>
      <c r="AA441" s="10">
        <f t="shared" si="68"/>
        <v>0</v>
      </c>
      <c r="AB441" s="10">
        <f t="shared" si="69"/>
        <v>0</v>
      </c>
      <c r="AC441" s="6">
        <f t="shared" si="70"/>
        <v>0</v>
      </c>
    </row>
    <row r="442" spans="1:29" x14ac:dyDescent="0.25">
      <c r="A442" t="s">
        <v>114</v>
      </c>
      <c r="B442" t="s">
        <v>67</v>
      </c>
      <c r="C442" s="1" t="s">
        <v>20</v>
      </c>
      <c r="D442">
        <v>36</v>
      </c>
      <c r="E442">
        <v>36</v>
      </c>
      <c r="F442">
        <v>0</v>
      </c>
      <c r="G442">
        <v>0</v>
      </c>
      <c r="H442">
        <v>0</v>
      </c>
      <c r="I442" s="1">
        <v>45427</v>
      </c>
      <c r="J442" s="1">
        <v>45427</v>
      </c>
      <c r="K442" s="1">
        <v>45391</v>
      </c>
      <c r="L442" s="1">
        <v>45391</v>
      </c>
      <c r="M442" s="1">
        <v>45391</v>
      </c>
      <c r="N442" s="5">
        <v>87.413269610837517</v>
      </c>
      <c r="O442">
        <v>89.569569712823935</v>
      </c>
      <c r="P442">
        <v>89.569569712823935</v>
      </c>
      <c r="S442" s="6"/>
      <c r="T442" s="5">
        <f t="shared" si="61"/>
        <v>2.4667880650000029</v>
      </c>
      <c r="U442" s="10">
        <f t="shared" si="62"/>
        <v>2.4667880650000029</v>
      </c>
      <c r="V442" s="10">
        <f t="shared" si="63"/>
        <v>0</v>
      </c>
      <c r="W442" s="10">
        <f t="shared" si="64"/>
        <v>0</v>
      </c>
      <c r="X442" s="6">
        <f t="shared" si="65"/>
        <v>0</v>
      </c>
      <c r="Y442" s="5">
        <f t="shared" si="66"/>
        <v>24.667880650000029</v>
      </c>
      <c r="Z442" s="10">
        <f t="shared" si="67"/>
        <v>24.667880650000029</v>
      </c>
      <c r="AA442" s="10">
        <f t="shared" si="68"/>
        <v>0</v>
      </c>
      <c r="AB442" s="10">
        <f t="shared" si="69"/>
        <v>0</v>
      </c>
      <c r="AC442" s="6">
        <f t="shared" si="70"/>
        <v>0</v>
      </c>
    </row>
    <row r="443" spans="1:29" x14ac:dyDescent="0.25">
      <c r="A443" t="s">
        <v>114</v>
      </c>
      <c r="B443" t="s">
        <v>249</v>
      </c>
      <c r="C443" s="1" t="s">
        <v>20</v>
      </c>
      <c r="D443">
        <v>0</v>
      </c>
      <c r="E443">
        <v>0</v>
      </c>
      <c r="F443">
        <v>0</v>
      </c>
      <c r="G443">
        <v>0</v>
      </c>
      <c r="H443">
        <v>0</v>
      </c>
      <c r="I443" s="1">
        <v>45391</v>
      </c>
      <c r="J443" s="1">
        <v>45391</v>
      </c>
      <c r="K443" s="1">
        <v>45391</v>
      </c>
      <c r="L443" s="1">
        <v>45391</v>
      </c>
      <c r="M443" s="1">
        <v>45391</v>
      </c>
      <c r="N443" s="5"/>
      <c r="S443" s="6"/>
      <c r="T443" s="5">
        <f t="shared" si="61"/>
        <v>0</v>
      </c>
      <c r="U443" s="10">
        <f t="shared" si="62"/>
        <v>0</v>
      </c>
      <c r="V443" s="10">
        <f t="shared" si="63"/>
        <v>0</v>
      </c>
      <c r="W443" s="10">
        <f t="shared" si="64"/>
        <v>0</v>
      </c>
      <c r="X443" s="6">
        <f t="shared" si="65"/>
        <v>0</v>
      </c>
      <c r="Y443" s="5">
        <f t="shared" si="66"/>
        <v>0</v>
      </c>
      <c r="Z443" s="10">
        <f t="shared" si="67"/>
        <v>0</v>
      </c>
      <c r="AA443" s="10">
        <f t="shared" si="68"/>
        <v>0</v>
      </c>
      <c r="AB443" s="10">
        <f t="shared" si="69"/>
        <v>0</v>
      </c>
      <c r="AC443" s="6">
        <f t="shared" si="70"/>
        <v>0</v>
      </c>
    </row>
    <row r="444" spans="1:29" x14ac:dyDescent="0.25">
      <c r="A444" t="s">
        <v>114</v>
      </c>
      <c r="B444" t="s">
        <v>193</v>
      </c>
      <c r="C444" s="1" t="s">
        <v>20</v>
      </c>
      <c r="D444">
        <v>0</v>
      </c>
      <c r="E444">
        <v>0</v>
      </c>
      <c r="F444">
        <v>0</v>
      </c>
      <c r="G444">
        <v>0</v>
      </c>
      <c r="H444">
        <v>0</v>
      </c>
      <c r="I444" s="1">
        <v>45391</v>
      </c>
      <c r="J444" s="1">
        <v>45391</v>
      </c>
      <c r="K444" s="1">
        <v>45391</v>
      </c>
      <c r="L444" s="1">
        <v>45391</v>
      </c>
      <c r="M444" s="1">
        <v>45391</v>
      </c>
      <c r="N444" s="5"/>
      <c r="S444" s="6"/>
      <c r="T444" s="5">
        <f t="shared" si="61"/>
        <v>0</v>
      </c>
      <c r="U444" s="10">
        <f t="shared" si="62"/>
        <v>0</v>
      </c>
      <c r="V444" s="10">
        <f t="shared" si="63"/>
        <v>0</v>
      </c>
      <c r="W444" s="10">
        <f t="shared" si="64"/>
        <v>0</v>
      </c>
      <c r="X444" s="6">
        <f t="shared" si="65"/>
        <v>0</v>
      </c>
      <c r="Y444" s="5">
        <f t="shared" si="66"/>
        <v>0</v>
      </c>
      <c r="Z444" s="10">
        <f t="shared" si="67"/>
        <v>0</v>
      </c>
      <c r="AA444" s="10">
        <f t="shared" si="68"/>
        <v>0</v>
      </c>
      <c r="AB444" s="10">
        <f t="shared" si="69"/>
        <v>0</v>
      </c>
      <c r="AC444" s="6">
        <f t="shared" si="70"/>
        <v>0</v>
      </c>
    </row>
    <row r="445" spans="1:29" x14ac:dyDescent="0.25">
      <c r="A445" t="s">
        <v>114</v>
      </c>
      <c r="B445" t="s">
        <v>121</v>
      </c>
      <c r="C445" s="1" t="s">
        <v>20</v>
      </c>
      <c r="D445">
        <v>0</v>
      </c>
      <c r="E445">
        <v>37</v>
      </c>
      <c r="F445">
        <v>0</v>
      </c>
      <c r="G445">
        <v>0</v>
      </c>
      <c r="H445">
        <v>0</v>
      </c>
      <c r="I445" s="1">
        <v>45391</v>
      </c>
      <c r="J445" s="1">
        <v>45428</v>
      </c>
      <c r="K445" s="1">
        <v>45391</v>
      </c>
      <c r="L445" s="1">
        <v>45391</v>
      </c>
      <c r="M445" s="1">
        <v>45391</v>
      </c>
      <c r="N445" s="5">
        <v>771.03968140195104</v>
      </c>
      <c r="P445">
        <v>758.95569141984561</v>
      </c>
      <c r="S445" s="6"/>
      <c r="T445" s="5">
        <f t="shared" si="61"/>
        <v>0</v>
      </c>
      <c r="U445" s="10">
        <f t="shared" si="62"/>
        <v>-1.567233214266428</v>
      </c>
      <c r="V445" s="10">
        <f t="shared" si="63"/>
        <v>0</v>
      </c>
      <c r="W445" s="10">
        <f t="shared" si="64"/>
        <v>0</v>
      </c>
      <c r="X445" s="6">
        <f t="shared" si="65"/>
        <v>0</v>
      </c>
      <c r="Y445" s="5">
        <f t="shared" si="66"/>
        <v>0</v>
      </c>
      <c r="Z445" s="10">
        <f t="shared" si="67"/>
        <v>-15.672332142664279</v>
      </c>
      <c r="AA445" s="10">
        <f t="shared" si="68"/>
        <v>0</v>
      </c>
      <c r="AB445" s="10">
        <f t="shared" si="69"/>
        <v>0</v>
      </c>
      <c r="AC445" s="6">
        <f t="shared" si="70"/>
        <v>0</v>
      </c>
    </row>
    <row r="446" spans="1:29" x14ac:dyDescent="0.25">
      <c r="A446" t="s">
        <v>114</v>
      </c>
      <c r="B446" t="s">
        <v>242</v>
      </c>
      <c r="C446" s="1" t="s">
        <v>20</v>
      </c>
      <c r="D446">
        <v>0</v>
      </c>
      <c r="E446">
        <v>37</v>
      </c>
      <c r="F446">
        <v>0</v>
      </c>
      <c r="G446">
        <v>0</v>
      </c>
      <c r="H446">
        <v>0</v>
      </c>
      <c r="I446" s="1">
        <v>45391</v>
      </c>
      <c r="J446" s="1">
        <v>45428</v>
      </c>
      <c r="K446" s="1">
        <v>45391</v>
      </c>
      <c r="L446" s="1">
        <v>45391</v>
      </c>
      <c r="M446" s="1">
        <v>45391</v>
      </c>
      <c r="N446" s="5">
        <v>367.69506921064738</v>
      </c>
      <c r="P446">
        <v>355.69213883695687</v>
      </c>
      <c r="S446" s="6"/>
      <c r="T446" s="5">
        <f t="shared" si="61"/>
        <v>0</v>
      </c>
      <c r="U446" s="10">
        <f t="shared" si="62"/>
        <v>-3.2643707731675353</v>
      </c>
      <c r="V446" s="10">
        <f t="shared" si="63"/>
        <v>0</v>
      </c>
      <c r="W446" s="10">
        <f t="shared" si="64"/>
        <v>0</v>
      </c>
      <c r="X446" s="6">
        <f t="shared" si="65"/>
        <v>0</v>
      </c>
      <c r="Y446" s="5">
        <f t="shared" si="66"/>
        <v>0</v>
      </c>
      <c r="Z446" s="10">
        <f t="shared" si="67"/>
        <v>-32.643707731675356</v>
      </c>
      <c r="AA446" s="10">
        <f t="shared" si="68"/>
        <v>0</v>
      </c>
      <c r="AB446" s="10">
        <f t="shared" si="69"/>
        <v>0</v>
      </c>
      <c r="AC446" s="6">
        <f t="shared" si="70"/>
        <v>0</v>
      </c>
    </row>
    <row r="447" spans="1:29" x14ac:dyDescent="0.25">
      <c r="A447" t="s">
        <v>114</v>
      </c>
      <c r="B447" t="s">
        <v>207</v>
      </c>
      <c r="C447" s="1" t="s">
        <v>20</v>
      </c>
      <c r="D447">
        <v>0</v>
      </c>
      <c r="E447">
        <v>0</v>
      </c>
      <c r="F447">
        <v>0</v>
      </c>
      <c r="G447">
        <v>0</v>
      </c>
      <c r="H447">
        <v>0</v>
      </c>
      <c r="I447" s="1">
        <v>45391</v>
      </c>
      <c r="J447" s="1">
        <v>45391</v>
      </c>
      <c r="K447" s="1">
        <v>45391</v>
      </c>
      <c r="L447" s="1">
        <v>45391</v>
      </c>
      <c r="M447" s="1">
        <v>45391</v>
      </c>
      <c r="N447" s="5"/>
      <c r="S447" s="6"/>
      <c r="T447" s="5">
        <f t="shared" si="61"/>
        <v>0</v>
      </c>
      <c r="U447" s="10">
        <f t="shared" si="62"/>
        <v>0</v>
      </c>
      <c r="V447" s="10">
        <f t="shared" si="63"/>
        <v>0</v>
      </c>
      <c r="W447" s="10">
        <f t="shared" si="64"/>
        <v>0</v>
      </c>
      <c r="X447" s="6">
        <f t="shared" si="65"/>
        <v>0</v>
      </c>
      <c r="Y447" s="5">
        <f t="shared" si="66"/>
        <v>0</v>
      </c>
      <c r="Z447" s="10">
        <f t="shared" si="67"/>
        <v>0</v>
      </c>
      <c r="AA447" s="10">
        <f t="shared" si="68"/>
        <v>0</v>
      </c>
      <c r="AB447" s="10">
        <f t="shared" si="69"/>
        <v>0</v>
      </c>
      <c r="AC447" s="6">
        <f t="shared" si="70"/>
        <v>0</v>
      </c>
    </row>
    <row r="448" spans="1:29" x14ac:dyDescent="0.25">
      <c r="A448" t="s">
        <v>114</v>
      </c>
      <c r="B448" t="s">
        <v>207</v>
      </c>
      <c r="C448" s="1" t="s">
        <v>20</v>
      </c>
      <c r="D448">
        <v>0</v>
      </c>
      <c r="E448">
        <v>0</v>
      </c>
      <c r="F448">
        <v>0</v>
      </c>
      <c r="G448">
        <v>0</v>
      </c>
      <c r="H448">
        <v>0</v>
      </c>
      <c r="I448" s="1">
        <v>45391</v>
      </c>
      <c r="J448" s="1">
        <v>45391</v>
      </c>
      <c r="K448" s="1">
        <v>45391</v>
      </c>
      <c r="L448" s="1">
        <v>45391</v>
      </c>
      <c r="M448" s="1">
        <v>45391</v>
      </c>
      <c r="N448" s="5"/>
      <c r="S448" s="6"/>
      <c r="T448" s="5">
        <f t="shared" si="61"/>
        <v>0</v>
      </c>
      <c r="U448" s="10">
        <f t="shared" si="62"/>
        <v>0</v>
      </c>
      <c r="V448" s="10">
        <f t="shared" si="63"/>
        <v>0</v>
      </c>
      <c r="W448" s="10">
        <f t="shared" si="64"/>
        <v>0</v>
      </c>
      <c r="X448" s="6">
        <f t="shared" si="65"/>
        <v>0</v>
      </c>
      <c r="Y448" s="5">
        <f t="shared" si="66"/>
        <v>0</v>
      </c>
      <c r="Z448" s="10">
        <f t="shared" si="67"/>
        <v>0</v>
      </c>
      <c r="AA448" s="10">
        <f t="shared" si="68"/>
        <v>0</v>
      </c>
      <c r="AB448" s="10">
        <f t="shared" si="69"/>
        <v>0</v>
      </c>
      <c r="AC448" s="6">
        <f t="shared" si="70"/>
        <v>0</v>
      </c>
    </row>
    <row r="449" spans="1:29" x14ac:dyDescent="0.25">
      <c r="A449" t="s">
        <v>114</v>
      </c>
      <c r="B449" t="s">
        <v>178</v>
      </c>
      <c r="C449" s="1" t="s">
        <v>20</v>
      </c>
      <c r="D449">
        <v>0</v>
      </c>
      <c r="E449">
        <v>0</v>
      </c>
      <c r="F449">
        <v>0</v>
      </c>
      <c r="G449">
        <v>0</v>
      </c>
      <c r="H449">
        <v>0</v>
      </c>
      <c r="I449" s="1">
        <v>45391</v>
      </c>
      <c r="J449" s="1">
        <v>45391</v>
      </c>
      <c r="K449" s="1">
        <v>45391</v>
      </c>
      <c r="L449" s="1">
        <v>45391</v>
      </c>
      <c r="M449" s="1">
        <v>45391</v>
      </c>
      <c r="N449" s="5"/>
      <c r="S449" s="6"/>
      <c r="T449" s="5">
        <f t="shared" si="61"/>
        <v>0</v>
      </c>
      <c r="U449" s="10">
        <f t="shared" si="62"/>
        <v>0</v>
      </c>
      <c r="V449" s="10">
        <f t="shared" si="63"/>
        <v>0</v>
      </c>
      <c r="W449" s="10">
        <f t="shared" si="64"/>
        <v>0</v>
      </c>
      <c r="X449" s="6">
        <f t="shared" si="65"/>
        <v>0</v>
      </c>
      <c r="Y449" s="5">
        <f t="shared" si="66"/>
        <v>0</v>
      </c>
      <c r="Z449" s="10">
        <f t="shared" si="67"/>
        <v>0</v>
      </c>
      <c r="AA449" s="10">
        <f t="shared" si="68"/>
        <v>0</v>
      </c>
      <c r="AB449" s="10">
        <f t="shared" si="69"/>
        <v>0</v>
      </c>
      <c r="AC449" s="6">
        <f t="shared" si="70"/>
        <v>0</v>
      </c>
    </row>
    <row r="450" spans="1:29" x14ac:dyDescent="0.25">
      <c r="A450" t="s">
        <v>114</v>
      </c>
      <c r="B450" t="s">
        <v>166</v>
      </c>
      <c r="C450" s="1" t="s">
        <v>20</v>
      </c>
      <c r="D450">
        <v>25</v>
      </c>
      <c r="E450">
        <v>25</v>
      </c>
      <c r="F450">
        <v>0</v>
      </c>
      <c r="G450">
        <v>0</v>
      </c>
      <c r="H450">
        <v>0</v>
      </c>
      <c r="I450" s="1">
        <v>45416</v>
      </c>
      <c r="J450" s="1">
        <v>45416</v>
      </c>
      <c r="K450" s="1">
        <v>45391</v>
      </c>
      <c r="L450" s="1">
        <v>45391</v>
      </c>
      <c r="M450" s="1">
        <v>45391</v>
      </c>
      <c r="N450" s="5">
        <v>34.670884776219431</v>
      </c>
      <c r="O450">
        <v>35.585604632921367</v>
      </c>
      <c r="P450">
        <v>35.585604632921367</v>
      </c>
      <c r="S450" s="6"/>
      <c r="T450" s="5">
        <f t="shared" ref="T450:T499" si="71">IF((ISBLANK(O450)),0,((O450/$N450)-1)*100)</f>
        <v>2.638293953574955</v>
      </c>
      <c r="U450" s="10">
        <f t="shared" ref="U450:U499" si="72">IF((ISBLANK(P450)),0,((P450/$N450)-1)*100)</f>
        <v>2.638293953574955</v>
      </c>
      <c r="V450" s="10">
        <f t="shared" ref="V450:V499" si="73">IF((ISBLANK(Q450)),0,((Q450/$N450)-1)*100)</f>
        <v>0</v>
      </c>
      <c r="W450" s="10">
        <f t="shared" ref="W450:W499" si="74">IF((ISBLANK(R450)),0,((R450/$N450)-1)*100)</f>
        <v>0</v>
      </c>
      <c r="X450" s="6">
        <f t="shared" ref="X450:X499" si="75">IF((ISBLANK(S450)),0,((S450/$N450)-1)*100)</f>
        <v>0</v>
      </c>
      <c r="Y450" s="5">
        <f t="shared" si="66"/>
        <v>26.38293953574955</v>
      </c>
      <c r="Z450" s="10">
        <f t="shared" si="67"/>
        <v>26.38293953574955</v>
      </c>
      <c r="AA450" s="10">
        <f t="shared" si="68"/>
        <v>0</v>
      </c>
      <c r="AB450" s="10">
        <f t="shared" si="69"/>
        <v>0</v>
      </c>
      <c r="AC450" s="6">
        <f t="shared" si="70"/>
        <v>0</v>
      </c>
    </row>
    <row r="451" spans="1:29" x14ac:dyDescent="0.25">
      <c r="A451" t="s">
        <v>114</v>
      </c>
      <c r="B451" t="s">
        <v>309</v>
      </c>
      <c r="C451" s="1" t="s">
        <v>20</v>
      </c>
      <c r="D451">
        <v>0</v>
      </c>
      <c r="E451">
        <v>0</v>
      </c>
      <c r="F451">
        <v>0</v>
      </c>
      <c r="G451">
        <v>0</v>
      </c>
      <c r="H451">
        <v>0</v>
      </c>
      <c r="I451" s="1">
        <v>45391</v>
      </c>
      <c r="J451" s="1">
        <v>45391</v>
      </c>
      <c r="K451" s="1">
        <v>45391</v>
      </c>
      <c r="L451" s="1">
        <v>45391</v>
      </c>
      <c r="M451" s="1">
        <v>45391</v>
      </c>
      <c r="N451" s="5"/>
      <c r="S451" s="6"/>
      <c r="T451" s="5">
        <f t="shared" si="71"/>
        <v>0</v>
      </c>
      <c r="U451" s="10">
        <f t="shared" si="72"/>
        <v>0</v>
      </c>
      <c r="V451" s="10">
        <f t="shared" si="73"/>
        <v>0</v>
      </c>
      <c r="W451" s="10">
        <f t="shared" si="74"/>
        <v>0</v>
      </c>
      <c r="X451" s="6">
        <f t="shared" si="75"/>
        <v>0</v>
      </c>
      <c r="Y451" s="5">
        <f t="shared" ref="Y451:Y500" si="76">1000 * T451/100</f>
        <v>0</v>
      </c>
      <c r="Z451" s="10">
        <f t="shared" ref="Z451:Z500" si="77">1000 * U451/100</f>
        <v>0</v>
      </c>
      <c r="AA451" s="10">
        <f t="shared" ref="AA451:AA500" si="78">1000 * V451/100</f>
        <v>0</v>
      </c>
      <c r="AB451" s="10">
        <f t="shared" ref="AB451:AB500" si="79">1000 * W451/100</f>
        <v>0</v>
      </c>
      <c r="AC451" s="6">
        <f t="shared" ref="AC451:AC500" si="80">1000 * X451/100</f>
        <v>0</v>
      </c>
    </row>
    <row r="452" spans="1:29" x14ac:dyDescent="0.25">
      <c r="A452" t="s">
        <v>114</v>
      </c>
      <c r="B452" t="s">
        <v>127</v>
      </c>
      <c r="C452" s="1" t="s">
        <v>20</v>
      </c>
      <c r="D452">
        <v>0</v>
      </c>
      <c r="E452">
        <v>0</v>
      </c>
      <c r="F452">
        <v>0</v>
      </c>
      <c r="G452">
        <v>0</v>
      </c>
      <c r="H452">
        <v>0</v>
      </c>
      <c r="I452" s="1">
        <v>45391</v>
      </c>
      <c r="J452" s="1">
        <v>45391</v>
      </c>
      <c r="K452" s="1">
        <v>45391</v>
      </c>
      <c r="L452" s="1">
        <v>45391</v>
      </c>
      <c r="M452" s="1">
        <v>45391</v>
      </c>
      <c r="N452" s="5"/>
      <c r="S452" s="6"/>
      <c r="T452" s="5">
        <f t="shared" si="71"/>
        <v>0</v>
      </c>
      <c r="U452" s="10">
        <f t="shared" si="72"/>
        <v>0</v>
      </c>
      <c r="V452" s="10">
        <f t="shared" si="73"/>
        <v>0</v>
      </c>
      <c r="W452" s="10">
        <f t="shared" si="74"/>
        <v>0</v>
      </c>
      <c r="X452" s="6">
        <f t="shared" si="75"/>
        <v>0</v>
      </c>
      <c r="Y452" s="5">
        <f t="shared" si="76"/>
        <v>0</v>
      </c>
      <c r="Z452" s="10">
        <f t="shared" si="77"/>
        <v>0</v>
      </c>
      <c r="AA452" s="10">
        <f t="shared" si="78"/>
        <v>0</v>
      </c>
      <c r="AB452" s="10">
        <f t="shared" si="79"/>
        <v>0</v>
      </c>
      <c r="AC452" s="6">
        <f t="shared" si="80"/>
        <v>0</v>
      </c>
    </row>
    <row r="453" spans="1:29" x14ac:dyDescent="0.25">
      <c r="A453" t="s">
        <v>114</v>
      </c>
      <c r="B453" t="s">
        <v>166</v>
      </c>
      <c r="C453" s="1" t="s">
        <v>20</v>
      </c>
      <c r="D453">
        <v>25</v>
      </c>
      <c r="E453">
        <v>25</v>
      </c>
      <c r="F453">
        <v>0</v>
      </c>
      <c r="G453">
        <v>0</v>
      </c>
      <c r="H453">
        <v>0</v>
      </c>
      <c r="I453" s="1">
        <v>45416</v>
      </c>
      <c r="J453" s="1">
        <v>45416</v>
      </c>
      <c r="K453" s="1">
        <v>45391</v>
      </c>
      <c r="L453" s="1">
        <v>45391</v>
      </c>
      <c r="M453" s="1">
        <v>45391</v>
      </c>
      <c r="N453" s="5">
        <v>34.670884776219431</v>
      </c>
      <c r="O453">
        <v>35.585604632921367</v>
      </c>
      <c r="P453">
        <v>35.585604632921367</v>
      </c>
      <c r="S453" s="6"/>
      <c r="T453" s="5">
        <f t="shared" si="71"/>
        <v>2.638293953574955</v>
      </c>
      <c r="U453" s="10">
        <f t="shared" si="72"/>
        <v>2.638293953574955</v>
      </c>
      <c r="V453" s="10">
        <f t="shared" si="73"/>
        <v>0</v>
      </c>
      <c r="W453" s="10">
        <f t="shared" si="74"/>
        <v>0</v>
      </c>
      <c r="X453" s="6">
        <f t="shared" si="75"/>
        <v>0</v>
      </c>
      <c r="Y453" s="5">
        <f t="shared" si="76"/>
        <v>26.38293953574955</v>
      </c>
      <c r="Z453" s="10">
        <f t="shared" si="77"/>
        <v>26.38293953574955</v>
      </c>
      <c r="AA453" s="10">
        <f t="shared" si="78"/>
        <v>0</v>
      </c>
      <c r="AB453" s="10">
        <f t="shared" si="79"/>
        <v>0</v>
      </c>
      <c r="AC453" s="6">
        <f t="shared" si="80"/>
        <v>0</v>
      </c>
    </row>
    <row r="454" spans="1:29" x14ac:dyDescent="0.25">
      <c r="A454" t="s">
        <v>114</v>
      </c>
      <c r="B454" t="s">
        <v>43</v>
      </c>
      <c r="C454" s="1" t="s">
        <v>20</v>
      </c>
      <c r="D454">
        <v>0</v>
      </c>
      <c r="E454">
        <v>0</v>
      </c>
      <c r="F454">
        <v>0</v>
      </c>
      <c r="G454">
        <v>0</v>
      </c>
      <c r="H454">
        <v>0</v>
      </c>
      <c r="I454" s="1">
        <v>45391</v>
      </c>
      <c r="J454" s="1">
        <v>45391</v>
      </c>
      <c r="K454" s="1">
        <v>45391</v>
      </c>
      <c r="L454" s="1">
        <v>45391</v>
      </c>
      <c r="M454" s="1">
        <v>45391</v>
      </c>
      <c r="N454" s="5"/>
      <c r="S454" s="6"/>
      <c r="T454" s="5">
        <f t="shared" si="71"/>
        <v>0</v>
      </c>
      <c r="U454" s="10">
        <f t="shared" si="72"/>
        <v>0</v>
      </c>
      <c r="V454" s="10">
        <f t="shared" si="73"/>
        <v>0</v>
      </c>
      <c r="W454" s="10">
        <f t="shared" si="74"/>
        <v>0</v>
      </c>
      <c r="X454" s="6">
        <f t="shared" si="75"/>
        <v>0</v>
      </c>
      <c r="Y454" s="5">
        <f t="shared" si="76"/>
        <v>0</v>
      </c>
      <c r="Z454" s="10">
        <f t="shared" si="77"/>
        <v>0</v>
      </c>
      <c r="AA454" s="10">
        <f t="shared" si="78"/>
        <v>0</v>
      </c>
      <c r="AB454" s="10">
        <f t="shared" si="79"/>
        <v>0</v>
      </c>
      <c r="AC454" s="6">
        <f t="shared" si="80"/>
        <v>0</v>
      </c>
    </row>
    <row r="455" spans="1:29" x14ac:dyDescent="0.25">
      <c r="A455" t="s">
        <v>114</v>
      </c>
      <c r="B455" t="s">
        <v>166</v>
      </c>
      <c r="C455" s="1" t="s">
        <v>20</v>
      </c>
      <c r="D455">
        <v>25</v>
      </c>
      <c r="E455">
        <v>25</v>
      </c>
      <c r="F455">
        <v>0</v>
      </c>
      <c r="G455">
        <v>0</v>
      </c>
      <c r="H455">
        <v>0</v>
      </c>
      <c r="I455" s="1">
        <v>45416</v>
      </c>
      <c r="J455" s="1">
        <v>45416</v>
      </c>
      <c r="K455" s="1">
        <v>45391</v>
      </c>
      <c r="L455" s="1">
        <v>45391</v>
      </c>
      <c r="M455" s="1">
        <v>45391</v>
      </c>
      <c r="N455" s="5">
        <v>34.670884776219431</v>
      </c>
      <c r="O455">
        <v>35.585604632921367</v>
      </c>
      <c r="P455">
        <v>35.585604632921367</v>
      </c>
      <c r="S455" s="6"/>
      <c r="T455" s="5">
        <f t="shared" si="71"/>
        <v>2.638293953574955</v>
      </c>
      <c r="U455" s="10">
        <f t="shared" si="72"/>
        <v>2.638293953574955</v>
      </c>
      <c r="V455" s="10">
        <f t="shared" si="73"/>
        <v>0</v>
      </c>
      <c r="W455" s="10">
        <f t="shared" si="74"/>
        <v>0</v>
      </c>
      <c r="X455" s="6">
        <f t="shared" si="75"/>
        <v>0</v>
      </c>
      <c r="Y455" s="5">
        <f t="shared" si="76"/>
        <v>26.38293953574955</v>
      </c>
      <c r="Z455" s="10">
        <f t="shared" si="77"/>
        <v>26.38293953574955</v>
      </c>
      <c r="AA455" s="10">
        <f t="shared" si="78"/>
        <v>0</v>
      </c>
      <c r="AB455" s="10">
        <f t="shared" si="79"/>
        <v>0</v>
      </c>
      <c r="AC455" s="6">
        <f t="shared" si="80"/>
        <v>0</v>
      </c>
    </row>
    <row r="456" spans="1:29" x14ac:dyDescent="0.25">
      <c r="A456" t="s">
        <v>114</v>
      </c>
      <c r="B456" t="s">
        <v>310</v>
      </c>
      <c r="C456" s="1" t="s">
        <v>20</v>
      </c>
      <c r="D456">
        <v>0</v>
      </c>
      <c r="E456">
        <v>0</v>
      </c>
      <c r="F456">
        <v>0</v>
      </c>
      <c r="G456">
        <v>0</v>
      </c>
      <c r="H456">
        <v>0</v>
      </c>
      <c r="I456" s="1">
        <v>45391</v>
      </c>
      <c r="J456" s="1">
        <v>45391</v>
      </c>
      <c r="K456" s="1">
        <v>45391</v>
      </c>
      <c r="L456" s="1">
        <v>45391</v>
      </c>
      <c r="M456" s="1">
        <v>45391</v>
      </c>
      <c r="N456" s="5"/>
      <c r="S456" s="6"/>
      <c r="T456" s="5">
        <f t="shared" si="71"/>
        <v>0</v>
      </c>
      <c r="U456" s="10">
        <f t="shared" si="72"/>
        <v>0</v>
      </c>
      <c r="V456" s="10">
        <f t="shared" si="73"/>
        <v>0</v>
      </c>
      <c r="W456" s="10">
        <f t="shared" si="74"/>
        <v>0</v>
      </c>
      <c r="X456" s="6">
        <f t="shared" si="75"/>
        <v>0</v>
      </c>
      <c r="Y456" s="5">
        <f t="shared" si="76"/>
        <v>0</v>
      </c>
      <c r="Z456" s="10">
        <f t="shared" si="77"/>
        <v>0</v>
      </c>
      <c r="AA456" s="10">
        <f t="shared" si="78"/>
        <v>0</v>
      </c>
      <c r="AB456" s="10">
        <f t="shared" si="79"/>
        <v>0</v>
      </c>
      <c r="AC456" s="6">
        <f t="shared" si="80"/>
        <v>0</v>
      </c>
    </row>
    <row r="457" spans="1:29" x14ac:dyDescent="0.25">
      <c r="A457" t="s">
        <v>114</v>
      </c>
      <c r="B457" t="s">
        <v>166</v>
      </c>
      <c r="C457" s="1" t="s">
        <v>20</v>
      </c>
      <c r="D457">
        <v>25</v>
      </c>
      <c r="E457">
        <v>25</v>
      </c>
      <c r="F457">
        <v>0</v>
      </c>
      <c r="G457">
        <v>0</v>
      </c>
      <c r="H457">
        <v>0</v>
      </c>
      <c r="I457" s="1">
        <v>45416</v>
      </c>
      <c r="J457" s="1">
        <v>45416</v>
      </c>
      <c r="K457" s="1">
        <v>45391</v>
      </c>
      <c r="L457" s="1">
        <v>45391</v>
      </c>
      <c r="M457" s="1">
        <v>45391</v>
      </c>
      <c r="N457" s="5">
        <v>34.670884776219431</v>
      </c>
      <c r="O457">
        <v>35.585604632921367</v>
      </c>
      <c r="P457">
        <v>35.585604632921367</v>
      </c>
      <c r="S457" s="6"/>
      <c r="T457" s="5">
        <f t="shared" si="71"/>
        <v>2.638293953574955</v>
      </c>
      <c r="U457" s="10">
        <f t="shared" si="72"/>
        <v>2.638293953574955</v>
      </c>
      <c r="V457" s="10">
        <f t="shared" si="73"/>
        <v>0</v>
      </c>
      <c r="W457" s="10">
        <f t="shared" si="74"/>
        <v>0</v>
      </c>
      <c r="X457" s="6">
        <f t="shared" si="75"/>
        <v>0</v>
      </c>
      <c r="Y457" s="5">
        <f t="shared" si="76"/>
        <v>26.38293953574955</v>
      </c>
      <c r="Z457" s="10">
        <f t="shared" si="77"/>
        <v>26.38293953574955</v>
      </c>
      <c r="AA457" s="10">
        <f t="shared" si="78"/>
        <v>0</v>
      </c>
      <c r="AB457" s="10">
        <f t="shared" si="79"/>
        <v>0</v>
      </c>
      <c r="AC457" s="6">
        <f t="shared" si="80"/>
        <v>0</v>
      </c>
    </row>
    <row r="458" spans="1:29" x14ac:dyDescent="0.25">
      <c r="A458" t="s">
        <v>114</v>
      </c>
      <c r="B458" t="s">
        <v>128</v>
      </c>
      <c r="C458" s="1" t="s">
        <v>20</v>
      </c>
      <c r="D458">
        <v>0</v>
      </c>
      <c r="E458">
        <v>0</v>
      </c>
      <c r="F458">
        <v>0</v>
      </c>
      <c r="G458">
        <v>0</v>
      </c>
      <c r="H458">
        <v>0</v>
      </c>
      <c r="I458" s="1">
        <v>45391</v>
      </c>
      <c r="J458" s="1">
        <v>45391</v>
      </c>
      <c r="K458" s="1">
        <v>45391</v>
      </c>
      <c r="L458" s="1">
        <v>45391</v>
      </c>
      <c r="M458" s="1">
        <v>45391</v>
      </c>
      <c r="N458" s="5"/>
      <c r="S458" s="6"/>
      <c r="T458" s="5">
        <f t="shared" si="71"/>
        <v>0</v>
      </c>
      <c r="U458" s="10">
        <f t="shared" si="72"/>
        <v>0</v>
      </c>
      <c r="V458" s="10">
        <f t="shared" si="73"/>
        <v>0</v>
      </c>
      <c r="W458" s="10">
        <f t="shared" si="74"/>
        <v>0</v>
      </c>
      <c r="X458" s="6">
        <f t="shared" si="75"/>
        <v>0</v>
      </c>
      <c r="Y458" s="5">
        <f t="shared" si="76"/>
        <v>0</v>
      </c>
      <c r="Z458" s="10">
        <f t="shared" si="77"/>
        <v>0</v>
      </c>
      <c r="AA458" s="10">
        <f t="shared" si="78"/>
        <v>0</v>
      </c>
      <c r="AB458" s="10">
        <f t="shared" si="79"/>
        <v>0</v>
      </c>
      <c r="AC458" s="6">
        <f t="shared" si="80"/>
        <v>0</v>
      </c>
    </row>
    <row r="459" spans="1:29" x14ac:dyDescent="0.25">
      <c r="A459" t="s">
        <v>114</v>
      </c>
      <c r="B459" t="s">
        <v>115</v>
      </c>
      <c r="C459" s="1" t="s">
        <v>20</v>
      </c>
      <c r="D459">
        <v>0</v>
      </c>
      <c r="E459">
        <v>0</v>
      </c>
      <c r="F459">
        <v>0</v>
      </c>
      <c r="G459">
        <v>0</v>
      </c>
      <c r="H459">
        <v>0</v>
      </c>
      <c r="I459" s="1">
        <v>45391</v>
      </c>
      <c r="J459" s="1">
        <v>45391</v>
      </c>
      <c r="K459" s="1">
        <v>45391</v>
      </c>
      <c r="L459" s="1">
        <v>45391</v>
      </c>
      <c r="M459" s="1">
        <v>45391</v>
      </c>
      <c r="N459" s="5"/>
      <c r="S459" s="6"/>
      <c r="T459" s="5">
        <f t="shared" si="71"/>
        <v>0</v>
      </c>
      <c r="U459" s="10">
        <f t="shared" si="72"/>
        <v>0</v>
      </c>
      <c r="V459" s="10">
        <f t="shared" si="73"/>
        <v>0</v>
      </c>
      <c r="W459" s="10">
        <f t="shared" si="74"/>
        <v>0</v>
      </c>
      <c r="X459" s="6">
        <f t="shared" si="75"/>
        <v>0</v>
      </c>
      <c r="Y459" s="5">
        <f t="shared" si="76"/>
        <v>0</v>
      </c>
      <c r="Z459" s="10">
        <f t="shared" si="77"/>
        <v>0</v>
      </c>
      <c r="AA459" s="10">
        <f t="shared" si="78"/>
        <v>0</v>
      </c>
      <c r="AB459" s="10">
        <f t="shared" si="79"/>
        <v>0</v>
      </c>
      <c r="AC459" s="6">
        <f t="shared" si="80"/>
        <v>0</v>
      </c>
    </row>
    <row r="460" spans="1:29" x14ac:dyDescent="0.25">
      <c r="A460" t="s">
        <v>114</v>
      </c>
      <c r="B460" t="s">
        <v>128</v>
      </c>
      <c r="C460" s="1" t="s">
        <v>20</v>
      </c>
      <c r="D460">
        <v>0</v>
      </c>
      <c r="E460">
        <v>0</v>
      </c>
      <c r="F460">
        <v>0</v>
      </c>
      <c r="G460">
        <v>0</v>
      </c>
      <c r="H460">
        <v>0</v>
      </c>
      <c r="I460" s="1">
        <v>45391</v>
      </c>
      <c r="J460" s="1">
        <v>45391</v>
      </c>
      <c r="K460" s="1">
        <v>45391</v>
      </c>
      <c r="L460" s="1">
        <v>45391</v>
      </c>
      <c r="M460" s="1">
        <v>45391</v>
      </c>
      <c r="N460" s="5"/>
      <c r="S460" s="6"/>
      <c r="T460" s="5">
        <f t="shared" si="71"/>
        <v>0</v>
      </c>
      <c r="U460" s="10">
        <f t="shared" si="72"/>
        <v>0</v>
      </c>
      <c r="V460" s="10">
        <f t="shared" si="73"/>
        <v>0</v>
      </c>
      <c r="W460" s="10">
        <f t="shared" si="74"/>
        <v>0</v>
      </c>
      <c r="X460" s="6">
        <f t="shared" si="75"/>
        <v>0</v>
      </c>
      <c r="Y460" s="5">
        <f t="shared" si="76"/>
        <v>0</v>
      </c>
      <c r="Z460" s="10">
        <f t="shared" si="77"/>
        <v>0</v>
      </c>
      <c r="AA460" s="10">
        <f t="shared" si="78"/>
        <v>0</v>
      </c>
      <c r="AB460" s="10">
        <f t="shared" si="79"/>
        <v>0</v>
      </c>
      <c r="AC460" s="6">
        <f t="shared" si="80"/>
        <v>0</v>
      </c>
    </row>
    <row r="461" spans="1:29" x14ac:dyDescent="0.25">
      <c r="A461" t="s">
        <v>114</v>
      </c>
      <c r="B461" t="s">
        <v>128</v>
      </c>
      <c r="C461" s="1" t="s">
        <v>20</v>
      </c>
      <c r="D461">
        <v>0</v>
      </c>
      <c r="E461">
        <v>0</v>
      </c>
      <c r="F461">
        <v>0</v>
      </c>
      <c r="G461">
        <v>0</v>
      </c>
      <c r="H461">
        <v>0</v>
      </c>
      <c r="I461" s="1">
        <v>45391</v>
      </c>
      <c r="J461" s="1">
        <v>45391</v>
      </c>
      <c r="K461" s="1">
        <v>45391</v>
      </c>
      <c r="L461" s="1">
        <v>45391</v>
      </c>
      <c r="M461" s="1">
        <v>45391</v>
      </c>
      <c r="N461" s="5"/>
      <c r="S461" s="6"/>
      <c r="T461" s="5">
        <f t="shared" si="71"/>
        <v>0</v>
      </c>
      <c r="U461" s="10">
        <f t="shared" si="72"/>
        <v>0</v>
      </c>
      <c r="V461" s="10">
        <f t="shared" si="73"/>
        <v>0</v>
      </c>
      <c r="W461" s="10">
        <f t="shared" si="74"/>
        <v>0</v>
      </c>
      <c r="X461" s="6">
        <f t="shared" si="75"/>
        <v>0</v>
      </c>
      <c r="Y461" s="5">
        <f t="shared" si="76"/>
        <v>0</v>
      </c>
      <c r="Z461" s="10">
        <f t="shared" si="77"/>
        <v>0</v>
      </c>
      <c r="AA461" s="10">
        <f t="shared" si="78"/>
        <v>0</v>
      </c>
      <c r="AB461" s="10">
        <f t="shared" si="79"/>
        <v>0</v>
      </c>
      <c r="AC461" s="6">
        <f t="shared" si="80"/>
        <v>0</v>
      </c>
    </row>
    <row r="462" spans="1:29" x14ac:dyDescent="0.25">
      <c r="A462" t="s">
        <v>114</v>
      </c>
      <c r="B462" t="s">
        <v>128</v>
      </c>
      <c r="C462" s="1" t="s">
        <v>20</v>
      </c>
      <c r="D462">
        <v>0</v>
      </c>
      <c r="E462">
        <v>0</v>
      </c>
      <c r="F462">
        <v>0</v>
      </c>
      <c r="G462">
        <v>0</v>
      </c>
      <c r="H462">
        <v>0</v>
      </c>
      <c r="I462" s="1">
        <v>45391</v>
      </c>
      <c r="J462" s="1">
        <v>45391</v>
      </c>
      <c r="K462" s="1">
        <v>45391</v>
      </c>
      <c r="L462" s="1">
        <v>45391</v>
      </c>
      <c r="M462" s="1">
        <v>45391</v>
      </c>
      <c r="N462" s="5"/>
      <c r="S462" s="6"/>
      <c r="T462" s="5">
        <f t="shared" si="71"/>
        <v>0</v>
      </c>
      <c r="U462" s="10">
        <f t="shared" si="72"/>
        <v>0</v>
      </c>
      <c r="V462" s="10">
        <f t="shared" si="73"/>
        <v>0</v>
      </c>
      <c r="W462" s="10">
        <f t="shared" si="74"/>
        <v>0</v>
      </c>
      <c r="X462" s="6">
        <f t="shared" si="75"/>
        <v>0</v>
      </c>
      <c r="Y462" s="5">
        <f t="shared" si="76"/>
        <v>0</v>
      </c>
      <c r="Z462" s="10">
        <f t="shared" si="77"/>
        <v>0</v>
      </c>
      <c r="AA462" s="10">
        <f t="shared" si="78"/>
        <v>0</v>
      </c>
      <c r="AB462" s="10">
        <f t="shared" si="79"/>
        <v>0</v>
      </c>
      <c r="AC462" s="6">
        <f t="shared" si="80"/>
        <v>0</v>
      </c>
    </row>
    <row r="463" spans="1:29" x14ac:dyDescent="0.25">
      <c r="A463" t="s">
        <v>114</v>
      </c>
      <c r="B463" t="s">
        <v>249</v>
      </c>
      <c r="C463" s="1" t="s">
        <v>20</v>
      </c>
      <c r="D463">
        <v>0</v>
      </c>
      <c r="E463">
        <v>0</v>
      </c>
      <c r="F463">
        <v>0</v>
      </c>
      <c r="G463">
        <v>0</v>
      </c>
      <c r="H463">
        <v>0</v>
      </c>
      <c r="I463" s="1">
        <v>45391</v>
      </c>
      <c r="J463" s="1">
        <v>45391</v>
      </c>
      <c r="K463" s="1">
        <v>45391</v>
      </c>
      <c r="L463" s="1">
        <v>45391</v>
      </c>
      <c r="M463" s="1">
        <v>45391</v>
      </c>
      <c r="N463" s="5"/>
      <c r="S463" s="6"/>
      <c r="T463" s="5">
        <f t="shared" si="71"/>
        <v>0</v>
      </c>
      <c r="U463" s="10">
        <f t="shared" si="72"/>
        <v>0</v>
      </c>
      <c r="V463" s="10">
        <f t="shared" si="73"/>
        <v>0</v>
      </c>
      <c r="W463" s="10">
        <f t="shared" si="74"/>
        <v>0</v>
      </c>
      <c r="X463" s="6">
        <f t="shared" si="75"/>
        <v>0</v>
      </c>
      <c r="Y463" s="5">
        <f t="shared" si="76"/>
        <v>0</v>
      </c>
      <c r="Z463" s="10">
        <f t="shared" si="77"/>
        <v>0</v>
      </c>
      <c r="AA463" s="10">
        <f t="shared" si="78"/>
        <v>0</v>
      </c>
      <c r="AB463" s="10">
        <f t="shared" si="79"/>
        <v>0</v>
      </c>
      <c r="AC463" s="6">
        <f t="shared" si="80"/>
        <v>0</v>
      </c>
    </row>
    <row r="464" spans="1:29" x14ac:dyDescent="0.25">
      <c r="A464" t="s">
        <v>114</v>
      </c>
      <c r="B464" t="s">
        <v>55</v>
      </c>
      <c r="C464" s="1" t="s">
        <v>20</v>
      </c>
      <c r="D464">
        <v>0</v>
      </c>
      <c r="E464">
        <v>0</v>
      </c>
      <c r="F464">
        <v>0</v>
      </c>
      <c r="G464">
        <v>0</v>
      </c>
      <c r="H464">
        <v>27</v>
      </c>
      <c r="I464" s="1">
        <v>45391</v>
      </c>
      <c r="J464" s="1">
        <v>45391</v>
      </c>
      <c r="K464" s="1">
        <v>45391</v>
      </c>
      <c r="L464" s="1">
        <v>45391</v>
      </c>
      <c r="M464" s="1">
        <v>45418</v>
      </c>
      <c r="N464" s="5">
        <v>172.9100036621094</v>
      </c>
      <c r="S464" s="6">
        <v>182.1000061035156</v>
      </c>
      <c r="T464" s="5">
        <f t="shared" si="71"/>
        <v>0</v>
      </c>
      <c r="U464" s="10">
        <f t="shared" si="72"/>
        <v>0</v>
      </c>
      <c r="V464" s="10">
        <f t="shared" si="73"/>
        <v>0</v>
      </c>
      <c r="W464" s="10">
        <f t="shared" si="74"/>
        <v>0</v>
      </c>
      <c r="X464" s="6">
        <f t="shared" si="75"/>
        <v>5.3149050065170123</v>
      </c>
      <c r="Y464" s="5">
        <f t="shared" si="76"/>
        <v>0</v>
      </c>
      <c r="Z464" s="10">
        <f t="shared" si="77"/>
        <v>0</v>
      </c>
      <c r="AA464" s="10">
        <f t="shared" si="78"/>
        <v>0</v>
      </c>
      <c r="AB464" s="10">
        <f t="shared" si="79"/>
        <v>0</v>
      </c>
      <c r="AC464" s="6">
        <f t="shared" si="80"/>
        <v>53.149050065170123</v>
      </c>
    </row>
    <row r="465" spans="1:29" x14ac:dyDescent="0.25">
      <c r="A465" t="s">
        <v>114</v>
      </c>
      <c r="B465" t="s">
        <v>89</v>
      </c>
      <c r="C465" s="1" t="s">
        <v>20</v>
      </c>
      <c r="D465">
        <v>0</v>
      </c>
      <c r="E465">
        <v>0</v>
      </c>
      <c r="F465">
        <v>0</v>
      </c>
      <c r="G465">
        <v>0</v>
      </c>
      <c r="H465">
        <v>0</v>
      </c>
      <c r="I465" s="1">
        <v>45391</v>
      </c>
      <c r="J465" s="1">
        <v>45391</v>
      </c>
      <c r="K465" s="1">
        <v>45391</v>
      </c>
      <c r="L465" s="1">
        <v>45391</v>
      </c>
      <c r="M465" s="1">
        <v>45391</v>
      </c>
      <c r="N465" s="5"/>
      <c r="S465" s="6"/>
      <c r="T465" s="5">
        <f t="shared" si="71"/>
        <v>0</v>
      </c>
      <c r="U465" s="10">
        <f t="shared" si="72"/>
        <v>0</v>
      </c>
      <c r="V465" s="10">
        <f t="shared" si="73"/>
        <v>0</v>
      </c>
      <c r="W465" s="10">
        <f t="shared" si="74"/>
        <v>0</v>
      </c>
      <c r="X465" s="6">
        <f t="shared" si="75"/>
        <v>0</v>
      </c>
      <c r="Y465" s="5">
        <f t="shared" si="76"/>
        <v>0</v>
      </c>
      <c r="Z465" s="10">
        <f t="shared" si="77"/>
        <v>0</v>
      </c>
      <c r="AA465" s="10">
        <f t="shared" si="78"/>
        <v>0</v>
      </c>
      <c r="AB465" s="10">
        <f t="shared" si="79"/>
        <v>0</v>
      </c>
      <c r="AC465" s="6">
        <f t="shared" si="80"/>
        <v>0</v>
      </c>
    </row>
    <row r="466" spans="1:29" x14ac:dyDescent="0.25">
      <c r="A466" t="s">
        <v>114</v>
      </c>
      <c r="B466" t="s">
        <v>132</v>
      </c>
      <c r="C466" s="1" t="s">
        <v>20</v>
      </c>
      <c r="D466">
        <v>0</v>
      </c>
      <c r="E466">
        <v>0</v>
      </c>
      <c r="F466">
        <v>0</v>
      </c>
      <c r="G466">
        <v>0</v>
      </c>
      <c r="H466">
        <v>0</v>
      </c>
      <c r="I466" s="1">
        <v>45391</v>
      </c>
      <c r="J466" s="1">
        <v>45391</v>
      </c>
      <c r="K466" s="1">
        <v>45391</v>
      </c>
      <c r="L466" s="1">
        <v>45391</v>
      </c>
      <c r="M466" s="1">
        <v>45391</v>
      </c>
      <c r="N466" s="5"/>
      <c r="S466" s="6"/>
      <c r="T466" s="5">
        <f t="shared" si="71"/>
        <v>0</v>
      </c>
      <c r="U466" s="10">
        <f t="shared" si="72"/>
        <v>0</v>
      </c>
      <c r="V466" s="10">
        <f t="shared" si="73"/>
        <v>0</v>
      </c>
      <c r="W466" s="10">
        <f t="shared" si="74"/>
        <v>0</v>
      </c>
      <c r="X466" s="6">
        <f t="shared" si="75"/>
        <v>0</v>
      </c>
      <c r="Y466" s="5">
        <f t="shared" si="76"/>
        <v>0</v>
      </c>
      <c r="Z466" s="10">
        <f t="shared" si="77"/>
        <v>0</v>
      </c>
      <c r="AA466" s="10">
        <f t="shared" si="78"/>
        <v>0</v>
      </c>
      <c r="AB466" s="10">
        <f t="shared" si="79"/>
        <v>0</v>
      </c>
      <c r="AC466" s="6">
        <f t="shared" si="80"/>
        <v>0</v>
      </c>
    </row>
    <row r="467" spans="1:29" x14ac:dyDescent="0.25">
      <c r="A467" t="s">
        <v>114</v>
      </c>
      <c r="B467" t="s">
        <v>133</v>
      </c>
      <c r="C467" s="1" t="s">
        <v>20</v>
      </c>
      <c r="D467">
        <v>0</v>
      </c>
      <c r="E467">
        <v>0</v>
      </c>
      <c r="F467">
        <v>0</v>
      </c>
      <c r="G467">
        <v>0</v>
      </c>
      <c r="H467">
        <v>0</v>
      </c>
      <c r="I467" s="1">
        <v>45391</v>
      </c>
      <c r="J467" s="1">
        <v>45391</v>
      </c>
      <c r="K467" s="1">
        <v>45391</v>
      </c>
      <c r="L467" s="1">
        <v>45391</v>
      </c>
      <c r="M467" s="1">
        <v>45391</v>
      </c>
      <c r="N467" s="5"/>
      <c r="S467" s="6"/>
      <c r="T467" s="5">
        <f t="shared" si="71"/>
        <v>0</v>
      </c>
      <c r="U467" s="10">
        <f t="shared" si="72"/>
        <v>0</v>
      </c>
      <c r="V467" s="10">
        <f t="shared" si="73"/>
        <v>0</v>
      </c>
      <c r="W467" s="10">
        <f t="shared" si="74"/>
        <v>0</v>
      </c>
      <c r="X467" s="6">
        <f t="shared" si="75"/>
        <v>0</v>
      </c>
      <c r="Y467" s="5">
        <f t="shared" si="76"/>
        <v>0</v>
      </c>
      <c r="Z467" s="10">
        <f t="shared" si="77"/>
        <v>0</v>
      </c>
      <c r="AA467" s="10">
        <f t="shared" si="78"/>
        <v>0</v>
      </c>
      <c r="AB467" s="10">
        <f t="shared" si="79"/>
        <v>0</v>
      </c>
      <c r="AC467" s="6">
        <f t="shared" si="80"/>
        <v>0</v>
      </c>
    </row>
    <row r="468" spans="1:29" x14ac:dyDescent="0.25">
      <c r="A468" t="s">
        <v>114</v>
      </c>
      <c r="B468" t="s">
        <v>135</v>
      </c>
      <c r="C468" s="1" t="s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 s="1">
        <v>45391</v>
      </c>
      <c r="J468" s="1">
        <v>45391</v>
      </c>
      <c r="K468" s="1">
        <v>45391</v>
      </c>
      <c r="L468" s="1">
        <v>45391</v>
      </c>
      <c r="M468" s="1">
        <v>45391</v>
      </c>
      <c r="N468" s="5"/>
      <c r="S468" s="6"/>
      <c r="T468" s="5">
        <f t="shared" si="71"/>
        <v>0</v>
      </c>
      <c r="U468" s="10">
        <f t="shared" si="72"/>
        <v>0</v>
      </c>
      <c r="V468" s="10">
        <f t="shared" si="73"/>
        <v>0</v>
      </c>
      <c r="W468" s="10">
        <f t="shared" si="74"/>
        <v>0</v>
      </c>
      <c r="X468" s="6">
        <f t="shared" si="75"/>
        <v>0</v>
      </c>
      <c r="Y468" s="5">
        <f t="shared" si="76"/>
        <v>0</v>
      </c>
      <c r="Z468" s="10">
        <f t="shared" si="77"/>
        <v>0</v>
      </c>
      <c r="AA468" s="10">
        <f t="shared" si="78"/>
        <v>0</v>
      </c>
      <c r="AB468" s="10">
        <f t="shared" si="79"/>
        <v>0</v>
      </c>
      <c r="AC468" s="6">
        <f t="shared" si="80"/>
        <v>0</v>
      </c>
    </row>
    <row r="469" spans="1:29" x14ac:dyDescent="0.25">
      <c r="A469" t="s">
        <v>114</v>
      </c>
      <c r="B469" t="s">
        <v>194</v>
      </c>
      <c r="C469" s="1" t="s">
        <v>20</v>
      </c>
      <c r="D469">
        <v>0</v>
      </c>
      <c r="E469">
        <v>0</v>
      </c>
      <c r="F469">
        <v>0</v>
      </c>
      <c r="G469">
        <v>0</v>
      </c>
      <c r="H469">
        <v>0</v>
      </c>
      <c r="I469" s="1">
        <v>45391</v>
      </c>
      <c r="J469" s="1">
        <v>45391</v>
      </c>
      <c r="K469" s="1">
        <v>45391</v>
      </c>
      <c r="L469" s="1">
        <v>45391</v>
      </c>
      <c r="M469" s="1">
        <v>45391</v>
      </c>
      <c r="N469" s="5"/>
      <c r="S469" s="6"/>
      <c r="T469" s="5">
        <f t="shared" si="71"/>
        <v>0</v>
      </c>
      <c r="U469" s="10">
        <f t="shared" si="72"/>
        <v>0</v>
      </c>
      <c r="V469" s="10">
        <f t="shared" si="73"/>
        <v>0</v>
      </c>
      <c r="W469" s="10">
        <f t="shared" si="74"/>
        <v>0</v>
      </c>
      <c r="X469" s="6">
        <f t="shared" si="75"/>
        <v>0</v>
      </c>
      <c r="Y469" s="5">
        <f t="shared" si="76"/>
        <v>0</v>
      </c>
      <c r="Z469" s="10">
        <f t="shared" si="77"/>
        <v>0</v>
      </c>
      <c r="AA469" s="10">
        <f t="shared" si="78"/>
        <v>0</v>
      </c>
      <c r="AB469" s="10">
        <f t="shared" si="79"/>
        <v>0</v>
      </c>
      <c r="AC469" s="6">
        <f t="shared" si="80"/>
        <v>0</v>
      </c>
    </row>
    <row r="470" spans="1:29" x14ac:dyDescent="0.25">
      <c r="A470" t="s">
        <v>114</v>
      </c>
      <c r="B470" t="s">
        <v>134</v>
      </c>
      <c r="C470" s="1" t="s">
        <v>20</v>
      </c>
      <c r="D470">
        <v>28</v>
      </c>
      <c r="E470">
        <v>28</v>
      </c>
      <c r="F470">
        <v>37</v>
      </c>
      <c r="G470">
        <v>0</v>
      </c>
      <c r="H470">
        <v>37</v>
      </c>
      <c r="I470" s="1">
        <v>45419</v>
      </c>
      <c r="J470" s="1">
        <v>45419</v>
      </c>
      <c r="K470" s="1">
        <v>45428</v>
      </c>
      <c r="L470" s="1">
        <v>45391</v>
      </c>
      <c r="M470" s="1">
        <v>45428</v>
      </c>
      <c r="N470" s="5">
        <v>163.5578513182642</v>
      </c>
      <c r="O470">
        <v>165.49773371305039</v>
      </c>
      <c r="P470">
        <v>165.49773371305039</v>
      </c>
      <c r="Q470">
        <v>168.95896408467999</v>
      </c>
      <c r="S470" s="6">
        <v>168.95896408467999</v>
      </c>
      <c r="T470" s="5">
        <f t="shared" si="71"/>
        <v>1.1860527508468</v>
      </c>
      <c r="U470" s="10">
        <f t="shared" si="72"/>
        <v>1.1860527508468</v>
      </c>
      <c r="V470" s="10">
        <f t="shared" si="73"/>
        <v>3.3022644421427882</v>
      </c>
      <c r="W470" s="10">
        <f t="shared" si="74"/>
        <v>0</v>
      </c>
      <c r="X470" s="6">
        <f t="shared" si="75"/>
        <v>3.3022644421427882</v>
      </c>
      <c r="Y470" s="5">
        <f t="shared" si="76"/>
        <v>11.860527508468</v>
      </c>
      <c r="Z470" s="10">
        <f t="shared" si="77"/>
        <v>11.860527508468</v>
      </c>
      <c r="AA470" s="10">
        <f t="shared" si="78"/>
        <v>33.022644421427884</v>
      </c>
      <c r="AB470" s="10">
        <f t="shared" si="79"/>
        <v>0</v>
      </c>
      <c r="AC470" s="6">
        <f t="shared" si="80"/>
        <v>33.022644421427884</v>
      </c>
    </row>
    <row r="471" spans="1:29" x14ac:dyDescent="0.25">
      <c r="A471" t="s">
        <v>114</v>
      </c>
      <c r="B471" t="s">
        <v>311</v>
      </c>
      <c r="C471" s="1" t="s">
        <v>20</v>
      </c>
      <c r="D471">
        <v>15</v>
      </c>
      <c r="E471">
        <v>15</v>
      </c>
      <c r="F471">
        <v>0</v>
      </c>
      <c r="G471">
        <v>0</v>
      </c>
      <c r="H471">
        <v>0</v>
      </c>
      <c r="I471" s="1">
        <v>45406</v>
      </c>
      <c r="J471" s="1">
        <v>45406</v>
      </c>
      <c r="K471" s="1">
        <v>45391</v>
      </c>
      <c r="L471" s="1">
        <v>45391</v>
      </c>
      <c r="M471" s="1">
        <v>45391</v>
      </c>
      <c r="N471" s="5">
        <v>66.077910205916382</v>
      </c>
      <c r="O471">
        <v>67.361919093047774</v>
      </c>
      <c r="P471">
        <v>67.361919093047774</v>
      </c>
      <c r="S471" s="6"/>
      <c r="T471" s="5">
        <f t="shared" si="71"/>
        <v>1.9431741759539323</v>
      </c>
      <c r="U471" s="10">
        <f t="shared" si="72"/>
        <v>1.9431741759539323</v>
      </c>
      <c r="V471" s="10">
        <f t="shared" si="73"/>
        <v>0</v>
      </c>
      <c r="W471" s="10">
        <f t="shared" si="74"/>
        <v>0</v>
      </c>
      <c r="X471" s="6">
        <f t="shared" si="75"/>
        <v>0</v>
      </c>
      <c r="Y471" s="5">
        <f t="shared" si="76"/>
        <v>19.431741759539321</v>
      </c>
      <c r="Z471" s="10">
        <f t="shared" si="77"/>
        <v>19.431741759539321</v>
      </c>
      <c r="AA471" s="10">
        <f t="shared" si="78"/>
        <v>0</v>
      </c>
      <c r="AB471" s="10">
        <f t="shared" si="79"/>
        <v>0</v>
      </c>
      <c r="AC471" s="6">
        <f t="shared" si="80"/>
        <v>0</v>
      </c>
    </row>
    <row r="472" spans="1:29" x14ac:dyDescent="0.25">
      <c r="A472" t="s">
        <v>114</v>
      </c>
      <c r="B472" t="s">
        <v>117</v>
      </c>
      <c r="C472" s="1" t="s">
        <v>20</v>
      </c>
      <c r="D472">
        <v>0</v>
      </c>
      <c r="E472">
        <v>0</v>
      </c>
      <c r="F472">
        <v>0</v>
      </c>
      <c r="G472">
        <v>0</v>
      </c>
      <c r="H472">
        <v>0</v>
      </c>
      <c r="I472" s="1">
        <v>45391</v>
      </c>
      <c r="J472" s="1">
        <v>45391</v>
      </c>
      <c r="K472" s="1">
        <v>45391</v>
      </c>
      <c r="L472" s="1">
        <v>45391</v>
      </c>
      <c r="M472" s="1">
        <v>45391</v>
      </c>
      <c r="N472" s="5"/>
      <c r="S472" s="6"/>
      <c r="T472" s="5">
        <f t="shared" si="71"/>
        <v>0</v>
      </c>
      <c r="U472" s="10">
        <f t="shared" si="72"/>
        <v>0</v>
      </c>
      <c r="V472" s="10">
        <f t="shared" si="73"/>
        <v>0</v>
      </c>
      <c r="W472" s="10">
        <f t="shared" si="74"/>
        <v>0</v>
      </c>
      <c r="X472" s="6">
        <f t="shared" si="75"/>
        <v>0</v>
      </c>
      <c r="Y472" s="5">
        <f t="shared" si="76"/>
        <v>0</v>
      </c>
      <c r="Z472" s="10">
        <f t="shared" si="77"/>
        <v>0</v>
      </c>
      <c r="AA472" s="10">
        <f t="shared" si="78"/>
        <v>0</v>
      </c>
      <c r="AB472" s="10">
        <f t="shared" si="79"/>
        <v>0</v>
      </c>
      <c r="AC472" s="6">
        <f t="shared" si="80"/>
        <v>0</v>
      </c>
    </row>
    <row r="473" spans="1:29" x14ac:dyDescent="0.25">
      <c r="A473" t="s">
        <v>114</v>
      </c>
      <c r="B473" t="s">
        <v>211</v>
      </c>
      <c r="C473" s="1" t="s">
        <v>20</v>
      </c>
      <c r="D473">
        <v>0</v>
      </c>
      <c r="E473">
        <v>0</v>
      </c>
      <c r="F473">
        <v>0</v>
      </c>
      <c r="G473">
        <v>0</v>
      </c>
      <c r="H473">
        <v>0</v>
      </c>
      <c r="I473" s="1">
        <v>45391</v>
      </c>
      <c r="J473" s="1">
        <v>45391</v>
      </c>
      <c r="K473" s="1">
        <v>45391</v>
      </c>
      <c r="L473" s="1">
        <v>45391</v>
      </c>
      <c r="M473" s="1">
        <v>45391</v>
      </c>
      <c r="N473" s="5"/>
      <c r="S473" s="6"/>
      <c r="T473" s="5">
        <f t="shared" si="71"/>
        <v>0</v>
      </c>
      <c r="U473" s="10">
        <f t="shared" si="72"/>
        <v>0</v>
      </c>
      <c r="V473" s="10">
        <f t="shared" si="73"/>
        <v>0</v>
      </c>
      <c r="W473" s="10">
        <f t="shared" si="74"/>
        <v>0</v>
      </c>
      <c r="X473" s="6">
        <f t="shared" si="75"/>
        <v>0</v>
      </c>
      <c r="Y473" s="5">
        <f t="shared" si="76"/>
        <v>0</v>
      </c>
      <c r="Z473" s="10">
        <f t="shared" si="77"/>
        <v>0</v>
      </c>
      <c r="AA473" s="10">
        <f t="shared" si="78"/>
        <v>0</v>
      </c>
      <c r="AB473" s="10">
        <f t="shared" si="79"/>
        <v>0</v>
      </c>
      <c r="AC473" s="6">
        <f t="shared" si="80"/>
        <v>0</v>
      </c>
    </row>
    <row r="474" spans="1:29" x14ac:dyDescent="0.25">
      <c r="A474" t="s">
        <v>114</v>
      </c>
      <c r="B474" t="s">
        <v>42</v>
      </c>
      <c r="C474" s="1" t="s">
        <v>20</v>
      </c>
      <c r="D474">
        <v>0</v>
      </c>
      <c r="E474">
        <v>0</v>
      </c>
      <c r="F474">
        <v>0</v>
      </c>
      <c r="G474">
        <v>0</v>
      </c>
      <c r="H474">
        <v>0</v>
      </c>
      <c r="I474" s="1">
        <v>45391</v>
      </c>
      <c r="J474" s="1">
        <v>45391</v>
      </c>
      <c r="K474" s="1">
        <v>45391</v>
      </c>
      <c r="L474" s="1">
        <v>45391</v>
      </c>
      <c r="M474" s="1">
        <v>45391</v>
      </c>
      <c r="N474" s="5"/>
      <c r="S474" s="6"/>
      <c r="T474" s="5">
        <f t="shared" si="71"/>
        <v>0</v>
      </c>
      <c r="U474" s="10">
        <f t="shared" si="72"/>
        <v>0</v>
      </c>
      <c r="V474" s="10">
        <f t="shared" si="73"/>
        <v>0</v>
      </c>
      <c r="W474" s="10">
        <f t="shared" si="74"/>
        <v>0</v>
      </c>
      <c r="X474" s="6">
        <f t="shared" si="75"/>
        <v>0</v>
      </c>
      <c r="Y474" s="5">
        <f t="shared" si="76"/>
        <v>0</v>
      </c>
      <c r="Z474" s="10">
        <f t="shared" si="77"/>
        <v>0</v>
      </c>
      <c r="AA474" s="10">
        <f t="shared" si="78"/>
        <v>0</v>
      </c>
      <c r="AB474" s="10">
        <f t="shared" si="79"/>
        <v>0</v>
      </c>
      <c r="AC474" s="6">
        <f t="shared" si="80"/>
        <v>0</v>
      </c>
    </row>
    <row r="475" spans="1:29" x14ac:dyDescent="0.25">
      <c r="A475" t="s">
        <v>114</v>
      </c>
      <c r="B475" t="s">
        <v>79</v>
      </c>
      <c r="C475" s="1" t="s">
        <v>20</v>
      </c>
      <c r="D475">
        <v>0</v>
      </c>
      <c r="E475">
        <v>0</v>
      </c>
      <c r="F475">
        <v>0</v>
      </c>
      <c r="G475">
        <v>0</v>
      </c>
      <c r="H475">
        <v>0</v>
      </c>
      <c r="I475" s="1">
        <v>45391</v>
      </c>
      <c r="J475" s="1">
        <v>45391</v>
      </c>
      <c r="K475" s="1">
        <v>45391</v>
      </c>
      <c r="L475" s="1">
        <v>45391</v>
      </c>
      <c r="M475" s="1">
        <v>45391</v>
      </c>
      <c r="N475" s="5"/>
      <c r="S475" s="6"/>
      <c r="T475" s="5">
        <f t="shared" si="71"/>
        <v>0</v>
      </c>
      <c r="U475" s="10">
        <f t="shared" si="72"/>
        <v>0</v>
      </c>
      <c r="V475" s="10">
        <f t="shared" si="73"/>
        <v>0</v>
      </c>
      <c r="W475" s="10">
        <f t="shared" si="74"/>
        <v>0</v>
      </c>
      <c r="X475" s="6">
        <f t="shared" si="75"/>
        <v>0</v>
      </c>
      <c r="Y475" s="5">
        <f t="shared" si="76"/>
        <v>0</v>
      </c>
      <c r="Z475" s="10">
        <f t="shared" si="77"/>
        <v>0</v>
      </c>
      <c r="AA475" s="10">
        <f t="shared" si="78"/>
        <v>0</v>
      </c>
      <c r="AB475" s="10">
        <f t="shared" si="79"/>
        <v>0</v>
      </c>
      <c r="AC475" s="6">
        <f t="shared" si="80"/>
        <v>0</v>
      </c>
    </row>
    <row r="476" spans="1:29" x14ac:dyDescent="0.25">
      <c r="A476" t="s">
        <v>114</v>
      </c>
      <c r="B476" t="s">
        <v>140</v>
      </c>
      <c r="C476" s="1" t="s">
        <v>20</v>
      </c>
      <c r="D476">
        <v>0</v>
      </c>
      <c r="E476">
        <v>0</v>
      </c>
      <c r="F476">
        <v>0</v>
      </c>
      <c r="G476">
        <v>0</v>
      </c>
      <c r="H476">
        <v>0</v>
      </c>
      <c r="I476" s="1">
        <v>45391</v>
      </c>
      <c r="J476" s="1">
        <v>45391</v>
      </c>
      <c r="K476" s="1">
        <v>45391</v>
      </c>
      <c r="L476" s="1">
        <v>45391</v>
      </c>
      <c r="M476" s="1">
        <v>45391</v>
      </c>
      <c r="N476" s="5"/>
      <c r="S476" s="6"/>
      <c r="T476" s="5">
        <f t="shared" si="71"/>
        <v>0</v>
      </c>
      <c r="U476" s="10">
        <f t="shared" si="72"/>
        <v>0</v>
      </c>
      <c r="V476" s="10">
        <f t="shared" si="73"/>
        <v>0</v>
      </c>
      <c r="W476" s="10">
        <f t="shared" si="74"/>
        <v>0</v>
      </c>
      <c r="X476" s="6">
        <f t="shared" si="75"/>
        <v>0</v>
      </c>
      <c r="Y476" s="5">
        <f t="shared" si="76"/>
        <v>0</v>
      </c>
      <c r="Z476" s="10">
        <f t="shared" si="77"/>
        <v>0</v>
      </c>
      <c r="AA476" s="10">
        <f t="shared" si="78"/>
        <v>0</v>
      </c>
      <c r="AB476" s="10">
        <f t="shared" si="79"/>
        <v>0</v>
      </c>
      <c r="AC476" s="6">
        <f t="shared" si="80"/>
        <v>0</v>
      </c>
    </row>
    <row r="477" spans="1:29" x14ac:dyDescent="0.25">
      <c r="A477" t="s">
        <v>114</v>
      </c>
      <c r="B477" t="s">
        <v>312</v>
      </c>
      <c r="C477" s="1" t="s">
        <v>20</v>
      </c>
      <c r="D477">
        <v>26</v>
      </c>
      <c r="E477">
        <v>26</v>
      </c>
      <c r="F477">
        <v>0</v>
      </c>
      <c r="G477">
        <v>0</v>
      </c>
      <c r="H477">
        <v>0</v>
      </c>
      <c r="I477" s="1">
        <v>45417</v>
      </c>
      <c r="J477" s="1">
        <v>45417</v>
      </c>
      <c r="K477" s="1">
        <v>45391</v>
      </c>
      <c r="L477" s="1">
        <v>45391</v>
      </c>
      <c r="M477" s="1">
        <v>45391</v>
      </c>
      <c r="N477" s="5">
        <v>30.112205027736159</v>
      </c>
      <c r="O477">
        <v>32.761143683909317</v>
      </c>
      <c r="P477">
        <v>32.761143683909317</v>
      </c>
      <c r="S477" s="6"/>
      <c r="T477" s="5">
        <f t="shared" si="71"/>
        <v>8.796893663991856</v>
      </c>
      <c r="U477" s="10">
        <f t="shared" si="72"/>
        <v>8.796893663991856</v>
      </c>
      <c r="V477" s="10">
        <f t="shared" si="73"/>
        <v>0</v>
      </c>
      <c r="W477" s="10">
        <f t="shared" si="74"/>
        <v>0</v>
      </c>
      <c r="X477" s="6">
        <f t="shared" si="75"/>
        <v>0</v>
      </c>
      <c r="Y477" s="5">
        <f t="shared" si="76"/>
        <v>87.968936639918553</v>
      </c>
      <c r="Z477" s="10">
        <f t="shared" si="77"/>
        <v>87.968936639918553</v>
      </c>
      <c r="AA477" s="10">
        <f t="shared" si="78"/>
        <v>0</v>
      </c>
      <c r="AB477" s="10">
        <f t="shared" si="79"/>
        <v>0</v>
      </c>
      <c r="AC477" s="6">
        <f t="shared" si="80"/>
        <v>0</v>
      </c>
    </row>
    <row r="478" spans="1:29" x14ac:dyDescent="0.25">
      <c r="A478" t="s">
        <v>114</v>
      </c>
      <c r="B478" t="s">
        <v>313</v>
      </c>
      <c r="C478" s="1" t="s">
        <v>20</v>
      </c>
      <c r="D478">
        <v>32</v>
      </c>
      <c r="E478">
        <v>32</v>
      </c>
      <c r="F478">
        <v>0</v>
      </c>
      <c r="G478">
        <v>0</v>
      </c>
      <c r="H478">
        <v>31</v>
      </c>
      <c r="I478" s="1">
        <v>45423</v>
      </c>
      <c r="J478" s="1">
        <v>45423</v>
      </c>
      <c r="K478" s="1">
        <v>45391</v>
      </c>
      <c r="L478" s="1">
        <v>45391</v>
      </c>
      <c r="M478" s="1">
        <v>45422</v>
      </c>
      <c r="N478" s="5">
        <v>685.94413908509614</v>
      </c>
      <c r="O478">
        <v>713.8296875361425</v>
      </c>
      <c r="P478">
        <v>713.8296875361425</v>
      </c>
      <c r="S478" s="6">
        <v>707.98464763418599</v>
      </c>
      <c r="T478" s="5">
        <f t="shared" si="71"/>
        <v>4.0652797891443049</v>
      </c>
      <c r="U478" s="10">
        <f t="shared" si="72"/>
        <v>4.0652797891443049</v>
      </c>
      <c r="V478" s="10">
        <f t="shared" si="73"/>
        <v>0</v>
      </c>
      <c r="W478" s="10">
        <f t="shared" si="74"/>
        <v>0</v>
      </c>
      <c r="X478" s="6">
        <f t="shared" si="75"/>
        <v>3.2131637684793324</v>
      </c>
      <c r="Y478" s="5">
        <f t="shared" si="76"/>
        <v>40.652797891443043</v>
      </c>
      <c r="Z478" s="10">
        <f t="shared" si="77"/>
        <v>40.652797891443043</v>
      </c>
      <c r="AA478" s="10">
        <f t="shared" si="78"/>
        <v>0</v>
      </c>
      <c r="AB478" s="10">
        <f t="shared" si="79"/>
        <v>0</v>
      </c>
      <c r="AC478" s="6">
        <f t="shared" si="80"/>
        <v>32.131637684793326</v>
      </c>
    </row>
    <row r="479" spans="1:29" x14ac:dyDescent="0.25">
      <c r="A479" t="s">
        <v>114</v>
      </c>
      <c r="B479" t="s">
        <v>177</v>
      </c>
      <c r="C479" s="1" t="s">
        <v>20</v>
      </c>
      <c r="D479">
        <v>0</v>
      </c>
      <c r="E479">
        <v>0</v>
      </c>
      <c r="F479">
        <v>0</v>
      </c>
      <c r="G479">
        <v>0</v>
      </c>
      <c r="H479">
        <v>21</v>
      </c>
      <c r="I479" s="1">
        <v>45391</v>
      </c>
      <c r="J479" s="1">
        <v>45391</v>
      </c>
      <c r="K479" s="1">
        <v>45391</v>
      </c>
      <c r="L479" s="1">
        <v>45391</v>
      </c>
      <c r="M479" s="1">
        <v>45412</v>
      </c>
      <c r="N479" s="5">
        <v>74.99749755859375</v>
      </c>
      <c r="S479" s="6">
        <v>66.932502746582031</v>
      </c>
      <c r="T479" s="5">
        <f t="shared" si="71"/>
        <v>0</v>
      </c>
      <c r="U479" s="10">
        <f t="shared" si="72"/>
        <v>0</v>
      </c>
      <c r="V479" s="10">
        <f t="shared" si="73"/>
        <v>0</v>
      </c>
      <c r="W479" s="10">
        <f t="shared" si="74"/>
        <v>0</v>
      </c>
      <c r="X479" s="6">
        <f t="shared" si="75"/>
        <v>-10.753685222244558</v>
      </c>
      <c r="Y479" s="5">
        <f t="shared" si="76"/>
        <v>0</v>
      </c>
      <c r="Z479" s="10">
        <f t="shared" si="77"/>
        <v>0</v>
      </c>
      <c r="AA479" s="10">
        <f t="shared" si="78"/>
        <v>0</v>
      </c>
      <c r="AB479" s="10">
        <f t="shared" si="79"/>
        <v>0</v>
      </c>
      <c r="AC479" s="6">
        <f t="shared" si="80"/>
        <v>-107.53685222244557</v>
      </c>
    </row>
    <row r="480" spans="1:29" x14ac:dyDescent="0.25">
      <c r="A480" t="s">
        <v>114</v>
      </c>
      <c r="B480" t="s">
        <v>314</v>
      </c>
      <c r="C480" s="1" t="s">
        <v>20</v>
      </c>
      <c r="D480">
        <v>34</v>
      </c>
      <c r="E480">
        <v>34</v>
      </c>
      <c r="F480">
        <v>0</v>
      </c>
      <c r="G480">
        <v>0</v>
      </c>
      <c r="H480">
        <v>0</v>
      </c>
      <c r="I480" s="1">
        <v>45425</v>
      </c>
      <c r="J480" s="1">
        <v>45425</v>
      </c>
      <c r="K480" s="1">
        <v>45391</v>
      </c>
      <c r="L480" s="1">
        <v>45391</v>
      </c>
      <c r="M480" s="1">
        <v>45391</v>
      </c>
      <c r="N480" s="5">
        <v>135.48500061035159</v>
      </c>
      <c r="O480">
        <v>149.1549987792969</v>
      </c>
      <c r="P480">
        <v>149.1549987792969</v>
      </c>
      <c r="S480" s="6"/>
      <c r="T480" s="5">
        <f t="shared" si="71"/>
        <v>10.089676427178507</v>
      </c>
      <c r="U480" s="10">
        <f t="shared" si="72"/>
        <v>10.089676427178507</v>
      </c>
      <c r="V480" s="10">
        <f t="shared" si="73"/>
        <v>0</v>
      </c>
      <c r="W480" s="10">
        <f t="shared" si="74"/>
        <v>0</v>
      </c>
      <c r="X480" s="6">
        <f t="shared" si="75"/>
        <v>0</v>
      </c>
      <c r="Y480" s="5">
        <f t="shared" si="76"/>
        <v>100.89676427178507</v>
      </c>
      <c r="Z480" s="10">
        <f t="shared" si="77"/>
        <v>100.89676427178507</v>
      </c>
      <c r="AA480" s="10">
        <f t="shared" si="78"/>
        <v>0</v>
      </c>
      <c r="AB480" s="10">
        <f t="shared" si="79"/>
        <v>0</v>
      </c>
      <c r="AC480" s="6">
        <f t="shared" si="80"/>
        <v>0</v>
      </c>
    </row>
    <row r="481" spans="1:29" x14ac:dyDescent="0.25">
      <c r="A481" t="s">
        <v>114</v>
      </c>
      <c r="B481" t="s">
        <v>122</v>
      </c>
      <c r="C481" s="1" t="s">
        <v>20</v>
      </c>
      <c r="D481">
        <v>20</v>
      </c>
      <c r="E481">
        <v>20</v>
      </c>
      <c r="F481">
        <v>0</v>
      </c>
      <c r="G481">
        <v>0</v>
      </c>
      <c r="H481">
        <v>0</v>
      </c>
      <c r="I481" s="1">
        <v>45411</v>
      </c>
      <c r="J481" s="1">
        <v>45411</v>
      </c>
      <c r="K481" s="1">
        <v>45391</v>
      </c>
      <c r="L481" s="1">
        <v>45391</v>
      </c>
      <c r="M481" s="1">
        <v>45391</v>
      </c>
      <c r="N481" s="5">
        <v>76.510002136230469</v>
      </c>
      <c r="O481">
        <v>70.019996643066406</v>
      </c>
      <c r="P481">
        <v>70.019996643066406</v>
      </c>
      <c r="S481" s="6"/>
      <c r="T481" s="5">
        <f t="shared" si="71"/>
        <v>-8.4825582433107662</v>
      </c>
      <c r="U481" s="10">
        <f t="shared" si="72"/>
        <v>-8.4825582433107662</v>
      </c>
      <c r="V481" s="10">
        <f t="shared" si="73"/>
        <v>0</v>
      </c>
      <c r="W481" s="10">
        <f t="shared" si="74"/>
        <v>0</v>
      </c>
      <c r="X481" s="6">
        <f t="shared" si="75"/>
        <v>0</v>
      </c>
      <c r="Y481" s="5">
        <f t="shared" si="76"/>
        <v>-84.82558243310767</v>
      </c>
      <c r="Z481" s="10">
        <f t="shared" si="77"/>
        <v>-84.82558243310767</v>
      </c>
      <c r="AA481" s="10">
        <f t="shared" si="78"/>
        <v>0</v>
      </c>
      <c r="AB481" s="10">
        <f t="shared" si="79"/>
        <v>0</v>
      </c>
      <c r="AC481" s="6">
        <f t="shared" si="80"/>
        <v>0</v>
      </c>
    </row>
    <row r="482" spans="1:29" x14ac:dyDescent="0.25">
      <c r="A482" t="s">
        <v>114</v>
      </c>
      <c r="B482" t="s">
        <v>315</v>
      </c>
      <c r="C482" s="1" t="s">
        <v>20</v>
      </c>
      <c r="D482">
        <v>0</v>
      </c>
      <c r="E482">
        <v>0</v>
      </c>
      <c r="F482">
        <v>0</v>
      </c>
      <c r="G482">
        <v>0</v>
      </c>
      <c r="H482">
        <v>0</v>
      </c>
      <c r="I482" s="1">
        <v>45391</v>
      </c>
      <c r="J482" s="1">
        <v>45391</v>
      </c>
      <c r="K482" s="1">
        <v>45391</v>
      </c>
      <c r="L482" s="1">
        <v>45391</v>
      </c>
      <c r="M482" s="1">
        <v>45391</v>
      </c>
      <c r="N482" s="5"/>
      <c r="S482" s="6"/>
      <c r="T482" s="5">
        <f t="shared" si="71"/>
        <v>0</v>
      </c>
      <c r="U482" s="10">
        <f t="shared" si="72"/>
        <v>0</v>
      </c>
      <c r="V482" s="10">
        <f t="shared" si="73"/>
        <v>0</v>
      </c>
      <c r="W482" s="10">
        <f t="shared" si="74"/>
        <v>0</v>
      </c>
      <c r="X482" s="6">
        <f t="shared" si="75"/>
        <v>0</v>
      </c>
      <c r="Y482" s="5">
        <f t="shared" si="76"/>
        <v>0</v>
      </c>
      <c r="Z482" s="10">
        <f t="shared" si="77"/>
        <v>0</v>
      </c>
      <c r="AA482" s="10">
        <f t="shared" si="78"/>
        <v>0</v>
      </c>
      <c r="AB482" s="10">
        <f t="shared" si="79"/>
        <v>0</v>
      </c>
      <c r="AC482" s="6">
        <f t="shared" si="80"/>
        <v>0</v>
      </c>
    </row>
    <row r="483" spans="1:29" x14ac:dyDescent="0.25">
      <c r="A483" t="s">
        <v>114</v>
      </c>
      <c r="B483" t="s">
        <v>316</v>
      </c>
      <c r="C483" s="1" t="s">
        <v>20</v>
      </c>
      <c r="D483">
        <v>0</v>
      </c>
      <c r="E483">
        <v>0</v>
      </c>
      <c r="F483">
        <v>0</v>
      </c>
      <c r="G483">
        <v>0</v>
      </c>
      <c r="H483">
        <v>0</v>
      </c>
      <c r="I483" s="1">
        <v>45391</v>
      </c>
      <c r="J483" s="1">
        <v>45391</v>
      </c>
      <c r="K483" s="1">
        <v>45391</v>
      </c>
      <c r="L483" s="1">
        <v>45391</v>
      </c>
      <c r="M483" s="1">
        <v>45391</v>
      </c>
      <c r="N483" s="5"/>
      <c r="S483" s="6"/>
      <c r="T483" s="5">
        <f t="shared" si="71"/>
        <v>0</v>
      </c>
      <c r="U483" s="10">
        <f t="shared" si="72"/>
        <v>0</v>
      </c>
      <c r="V483" s="10">
        <f t="shared" si="73"/>
        <v>0</v>
      </c>
      <c r="W483" s="10">
        <f t="shared" si="74"/>
        <v>0</v>
      </c>
      <c r="X483" s="6">
        <f t="shared" si="75"/>
        <v>0</v>
      </c>
      <c r="Y483" s="5">
        <f t="shared" si="76"/>
        <v>0</v>
      </c>
      <c r="Z483" s="10">
        <f t="shared" si="77"/>
        <v>0</v>
      </c>
      <c r="AA483" s="10">
        <f t="shared" si="78"/>
        <v>0</v>
      </c>
      <c r="AB483" s="10">
        <f t="shared" si="79"/>
        <v>0</v>
      </c>
      <c r="AC483" s="6">
        <f t="shared" si="80"/>
        <v>0</v>
      </c>
    </row>
    <row r="484" spans="1:29" x14ac:dyDescent="0.25">
      <c r="A484" t="s">
        <v>114</v>
      </c>
      <c r="B484" t="s">
        <v>222</v>
      </c>
      <c r="C484" s="1" t="s">
        <v>20</v>
      </c>
      <c r="D484">
        <v>0</v>
      </c>
      <c r="E484">
        <v>0</v>
      </c>
      <c r="F484">
        <v>0</v>
      </c>
      <c r="G484">
        <v>26</v>
      </c>
      <c r="H484">
        <v>0</v>
      </c>
      <c r="I484" s="1">
        <v>45391</v>
      </c>
      <c r="J484" s="1">
        <v>45391</v>
      </c>
      <c r="K484" s="1">
        <v>45391</v>
      </c>
      <c r="L484" s="1">
        <v>45417</v>
      </c>
      <c r="M484" s="1">
        <v>45391</v>
      </c>
      <c r="N484" s="5">
        <v>181</v>
      </c>
      <c r="R484">
        <v>185</v>
      </c>
      <c r="S484" s="6"/>
      <c r="T484" s="5">
        <f t="shared" si="71"/>
        <v>0</v>
      </c>
      <c r="U484" s="10">
        <f t="shared" si="72"/>
        <v>0</v>
      </c>
      <c r="V484" s="10">
        <f t="shared" si="73"/>
        <v>0</v>
      </c>
      <c r="W484" s="10">
        <f t="shared" si="74"/>
        <v>2.2099447513812098</v>
      </c>
      <c r="X484" s="6">
        <f t="shared" si="75"/>
        <v>0</v>
      </c>
      <c r="Y484" s="5">
        <f t="shared" si="76"/>
        <v>0</v>
      </c>
      <c r="Z484" s="10">
        <f t="shared" si="77"/>
        <v>0</v>
      </c>
      <c r="AA484" s="10">
        <f t="shared" si="78"/>
        <v>0</v>
      </c>
      <c r="AB484" s="10">
        <f t="shared" si="79"/>
        <v>22.099447513812098</v>
      </c>
      <c r="AC484" s="6">
        <f t="shared" si="80"/>
        <v>0</v>
      </c>
    </row>
    <row r="485" spans="1:29" x14ac:dyDescent="0.25">
      <c r="A485" t="s">
        <v>114</v>
      </c>
      <c r="B485" t="s">
        <v>317</v>
      </c>
      <c r="C485" s="1" t="s">
        <v>20</v>
      </c>
      <c r="D485">
        <v>0</v>
      </c>
      <c r="E485">
        <v>0</v>
      </c>
      <c r="F485">
        <v>0</v>
      </c>
      <c r="G485">
        <v>0</v>
      </c>
      <c r="H485">
        <v>0</v>
      </c>
      <c r="I485" s="1">
        <v>45391</v>
      </c>
      <c r="J485" s="1">
        <v>45391</v>
      </c>
      <c r="K485" s="1">
        <v>45391</v>
      </c>
      <c r="L485" s="1">
        <v>45391</v>
      </c>
      <c r="M485" s="1">
        <v>45391</v>
      </c>
      <c r="N485" s="5"/>
      <c r="S485" s="6"/>
      <c r="T485" s="5">
        <f t="shared" si="71"/>
        <v>0</v>
      </c>
      <c r="U485" s="10">
        <f t="shared" si="72"/>
        <v>0</v>
      </c>
      <c r="V485" s="10">
        <f t="shared" si="73"/>
        <v>0</v>
      </c>
      <c r="W485" s="10">
        <f t="shared" si="74"/>
        <v>0</v>
      </c>
      <c r="X485" s="6">
        <f t="shared" si="75"/>
        <v>0</v>
      </c>
      <c r="Y485" s="5">
        <f t="shared" si="76"/>
        <v>0</v>
      </c>
      <c r="Z485" s="10">
        <f t="shared" si="77"/>
        <v>0</v>
      </c>
      <c r="AA485" s="10">
        <f t="shared" si="78"/>
        <v>0</v>
      </c>
      <c r="AB485" s="10">
        <f t="shared" si="79"/>
        <v>0</v>
      </c>
      <c r="AC485" s="6">
        <f t="shared" si="80"/>
        <v>0</v>
      </c>
    </row>
    <row r="486" spans="1:29" x14ac:dyDescent="0.25">
      <c r="A486" t="s">
        <v>114</v>
      </c>
      <c r="B486" t="s">
        <v>162</v>
      </c>
      <c r="C486" s="1" t="s">
        <v>20</v>
      </c>
      <c r="D486">
        <v>37</v>
      </c>
      <c r="E486">
        <v>37</v>
      </c>
      <c r="F486">
        <v>38</v>
      </c>
      <c r="G486">
        <v>29</v>
      </c>
      <c r="H486">
        <v>0</v>
      </c>
      <c r="I486" s="1">
        <v>45428</v>
      </c>
      <c r="J486" s="1">
        <v>45428</v>
      </c>
      <c r="K486" s="1">
        <v>45429</v>
      </c>
      <c r="L486" s="1">
        <v>45420</v>
      </c>
      <c r="M486" s="1">
        <v>45391</v>
      </c>
      <c r="N486" s="5">
        <v>115.3300018310547</v>
      </c>
      <c r="O486">
        <v>120.4599990844727</v>
      </c>
      <c r="P486">
        <v>120.4599990844727</v>
      </c>
      <c r="Q486">
        <v>117.30999755859381</v>
      </c>
      <c r="R486">
        <v>115.86000061035161</v>
      </c>
      <c r="S486" s="6"/>
      <c r="T486" s="5">
        <f t="shared" si="71"/>
        <v>4.4481029844539943</v>
      </c>
      <c r="U486" s="10">
        <f t="shared" si="72"/>
        <v>4.4481029844539943</v>
      </c>
      <c r="V486" s="10">
        <f t="shared" si="73"/>
        <v>1.7168088928322112</v>
      </c>
      <c r="W486" s="10">
        <f t="shared" si="74"/>
        <v>0.45954978833113724</v>
      </c>
      <c r="X486" s="6">
        <f t="shared" si="75"/>
        <v>0</v>
      </c>
      <c r="Y486" s="5">
        <f t="shared" si="76"/>
        <v>44.481029844539947</v>
      </c>
      <c r="Z486" s="10">
        <f t="shared" si="77"/>
        <v>44.481029844539947</v>
      </c>
      <c r="AA486" s="10">
        <f t="shared" si="78"/>
        <v>17.16808892832211</v>
      </c>
      <c r="AB486" s="10">
        <f t="shared" si="79"/>
        <v>4.5954978833113724</v>
      </c>
      <c r="AC486" s="6">
        <f t="shared" si="80"/>
        <v>0</v>
      </c>
    </row>
    <row r="487" spans="1:29" x14ac:dyDescent="0.25">
      <c r="A487" t="s">
        <v>114</v>
      </c>
      <c r="B487" t="s">
        <v>318</v>
      </c>
      <c r="C487" s="1" t="s">
        <v>20</v>
      </c>
      <c r="D487">
        <v>0</v>
      </c>
      <c r="E487">
        <v>0</v>
      </c>
      <c r="F487">
        <v>0</v>
      </c>
      <c r="G487">
        <v>0</v>
      </c>
      <c r="H487">
        <v>0</v>
      </c>
      <c r="I487" s="1">
        <v>45391</v>
      </c>
      <c r="J487" s="1">
        <v>45391</v>
      </c>
      <c r="K487" s="1">
        <v>45391</v>
      </c>
      <c r="L487" s="1">
        <v>45391</v>
      </c>
      <c r="M487" s="1">
        <v>45391</v>
      </c>
      <c r="N487" s="5"/>
      <c r="S487" s="6"/>
      <c r="T487" s="5">
        <f t="shared" si="71"/>
        <v>0</v>
      </c>
      <c r="U487" s="10">
        <f t="shared" si="72"/>
        <v>0</v>
      </c>
      <c r="V487" s="10">
        <f t="shared" si="73"/>
        <v>0</v>
      </c>
      <c r="W487" s="10">
        <f t="shared" si="74"/>
        <v>0</v>
      </c>
      <c r="X487" s="6">
        <f t="shared" si="75"/>
        <v>0</v>
      </c>
      <c r="Y487" s="5">
        <f t="shared" si="76"/>
        <v>0</v>
      </c>
      <c r="Z487" s="10">
        <f t="shared" si="77"/>
        <v>0</v>
      </c>
      <c r="AA487" s="10">
        <f t="shared" si="78"/>
        <v>0</v>
      </c>
      <c r="AB487" s="10">
        <f t="shared" si="79"/>
        <v>0</v>
      </c>
      <c r="AC487" s="6">
        <f t="shared" si="80"/>
        <v>0</v>
      </c>
    </row>
    <row r="488" spans="1:29" x14ac:dyDescent="0.25">
      <c r="A488" t="s">
        <v>114</v>
      </c>
      <c r="B488" t="s">
        <v>62</v>
      </c>
      <c r="C488" s="1" t="s">
        <v>20</v>
      </c>
      <c r="D488">
        <v>0</v>
      </c>
      <c r="E488">
        <v>0</v>
      </c>
      <c r="F488">
        <v>0</v>
      </c>
      <c r="G488">
        <v>0</v>
      </c>
      <c r="H488">
        <v>0</v>
      </c>
      <c r="I488" s="1">
        <v>45391</v>
      </c>
      <c r="J488" s="1">
        <v>45391</v>
      </c>
      <c r="K488" s="1">
        <v>45391</v>
      </c>
      <c r="L488" s="1">
        <v>45391</v>
      </c>
      <c r="M488" s="1">
        <v>45391</v>
      </c>
      <c r="N488" s="5"/>
      <c r="S488" s="6"/>
      <c r="T488" s="5">
        <f t="shared" si="71"/>
        <v>0</v>
      </c>
      <c r="U488" s="10">
        <f t="shared" si="72"/>
        <v>0</v>
      </c>
      <c r="V488" s="10">
        <f t="shared" si="73"/>
        <v>0</v>
      </c>
      <c r="W488" s="10">
        <f t="shared" si="74"/>
        <v>0</v>
      </c>
      <c r="X488" s="6">
        <f t="shared" si="75"/>
        <v>0</v>
      </c>
      <c r="Y488" s="5">
        <f t="shared" si="76"/>
        <v>0</v>
      </c>
      <c r="Z488" s="10">
        <f t="shared" si="77"/>
        <v>0</v>
      </c>
      <c r="AA488" s="10">
        <f t="shared" si="78"/>
        <v>0</v>
      </c>
      <c r="AB488" s="10">
        <f t="shared" si="79"/>
        <v>0</v>
      </c>
      <c r="AC488" s="6">
        <f t="shared" si="80"/>
        <v>0</v>
      </c>
    </row>
    <row r="489" spans="1:29" x14ac:dyDescent="0.25">
      <c r="A489" t="s">
        <v>114</v>
      </c>
      <c r="B489" t="s">
        <v>158</v>
      </c>
      <c r="C489" s="1" t="s">
        <v>20</v>
      </c>
      <c r="D489">
        <v>0</v>
      </c>
      <c r="E489">
        <v>0</v>
      </c>
      <c r="F489">
        <v>0</v>
      </c>
      <c r="G489">
        <v>0</v>
      </c>
      <c r="H489">
        <v>0</v>
      </c>
      <c r="I489" s="1">
        <v>45391</v>
      </c>
      <c r="J489" s="1">
        <v>45391</v>
      </c>
      <c r="K489" s="1">
        <v>45391</v>
      </c>
      <c r="L489" s="1">
        <v>45391</v>
      </c>
      <c r="M489" s="1">
        <v>45391</v>
      </c>
      <c r="N489" s="5"/>
      <c r="S489" s="6"/>
      <c r="T489" s="5">
        <f t="shared" si="71"/>
        <v>0</v>
      </c>
      <c r="U489" s="10">
        <f t="shared" si="72"/>
        <v>0</v>
      </c>
      <c r="V489" s="10">
        <f t="shared" si="73"/>
        <v>0</v>
      </c>
      <c r="W489" s="10">
        <f t="shared" si="74"/>
        <v>0</v>
      </c>
      <c r="X489" s="6">
        <f t="shared" si="75"/>
        <v>0</v>
      </c>
      <c r="Y489" s="5">
        <f t="shared" si="76"/>
        <v>0</v>
      </c>
      <c r="Z489" s="10">
        <f t="shared" si="77"/>
        <v>0</v>
      </c>
      <c r="AA489" s="10">
        <f t="shared" si="78"/>
        <v>0</v>
      </c>
      <c r="AB489" s="10">
        <f t="shared" si="79"/>
        <v>0</v>
      </c>
      <c r="AC489" s="6">
        <f t="shared" si="80"/>
        <v>0</v>
      </c>
    </row>
    <row r="490" spans="1:29" x14ac:dyDescent="0.25">
      <c r="A490" t="s">
        <v>114</v>
      </c>
      <c r="B490" t="s">
        <v>319</v>
      </c>
      <c r="C490" s="1" t="s">
        <v>20</v>
      </c>
      <c r="D490">
        <v>0</v>
      </c>
      <c r="E490">
        <v>0</v>
      </c>
      <c r="F490">
        <v>0</v>
      </c>
      <c r="G490">
        <v>0</v>
      </c>
      <c r="H490">
        <v>31</v>
      </c>
      <c r="I490" s="1">
        <v>45391</v>
      </c>
      <c r="J490" s="1">
        <v>45391</v>
      </c>
      <c r="K490" s="1">
        <v>45391</v>
      </c>
      <c r="L490" s="1">
        <v>45391</v>
      </c>
      <c r="M490" s="1">
        <v>45422</v>
      </c>
      <c r="N490" s="5">
        <v>69.830001831054688</v>
      </c>
      <c r="S490" s="6">
        <v>70.510002136230469</v>
      </c>
      <c r="T490" s="5">
        <f t="shared" si="71"/>
        <v>0</v>
      </c>
      <c r="U490" s="10">
        <f t="shared" si="72"/>
        <v>0</v>
      </c>
      <c r="V490" s="10">
        <f t="shared" si="73"/>
        <v>0</v>
      </c>
      <c r="W490" s="10">
        <f t="shared" si="74"/>
        <v>0</v>
      </c>
      <c r="X490" s="6">
        <f t="shared" si="75"/>
        <v>0.97379390998866278</v>
      </c>
      <c r="Y490" s="5">
        <f t="shared" si="76"/>
        <v>0</v>
      </c>
      <c r="Z490" s="10">
        <f t="shared" si="77"/>
        <v>0</v>
      </c>
      <c r="AA490" s="10">
        <f t="shared" si="78"/>
        <v>0</v>
      </c>
      <c r="AB490" s="10">
        <f t="shared" si="79"/>
        <v>0</v>
      </c>
      <c r="AC490" s="6">
        <f t="shared" si="80"/>
        <v>9.7379390998866278</v>
      </c>
    </row>
    <row r="491" spans="1:29" x14ac:dyDescent="0.25">
      <c r="A491" t="s">
        <v>114</v>
      </c>
      <c r="B491" t="s">
        <v>297</v>
      </c>
      <c r="C491" s="1" t="s">
        <v>20</v>
      </c>
      <c r="D491">
        <v>0</v>
      </c>
      <c r="E491">
        <v>0</v>
      </c>
      <c r="F491">
        <v>0</v>
      </c>
      <c r="G491">
        <v>0</v>
      </c>
      <c r="H491">
        <v>0</v>
      </c>
      <c r="I491" s="1">
        <v>45391</v>
      </c>
      <c r="J491" s="1">
        <v>45391</v>
      </c>
      <c r="K491" s="1">
        <v>45391</v>
      </c>
      <c r="L491" s="1">
        <v>45391</v>
      </c>
      <c r="M491" s="1">
        <v>45391</v>
      </c>
      <c r="N491" s="5"/>
      <c r="S491" s="6"/>
      <c r="T491" s="5">
        <f t="shared" si="71"/>
        <v>0</v>
      </c>
      <c r="U491" s="10">
        <f t="shared" si="72"/>
        <v>0</v>
      </c>
      <c r="V491" s="10">
        <f t="shared" si="73"/>
        <v>0</v>
      </c>
      <c r="W491" s="10">
        <f t="shared" si="74"/>
        <v>0</v>
      </c>
      <c r="X491" s="6">
        <f t="shared" si="75"/>
        <v>0</v>
      </c>
      <c r="Y491" s="5">
        <f t="shared" si="76"/>
        <v>0</v>
      </c>
      <c r="Z491" s="10">
        <f t="shared" si="77"/>
        <v>0</v>
      </c>
      <c r="AA491" s="10">
        <f t="shared" si="78"/>
        <v>0</v>
      </c>
      <c r="AB491" s="10">
        <f t="shared" si="79"/>
        <v>0</v>
      </c>
      <c r="AC491" s="6">
        <f t="shared" si="80"/>
        <v>0</v>
      </c>
    </row>
    <row r="492" spans="1:29" x14ac:dyDescent="0.25">
      <c r="A492" t="s">
        <v>114</v>
      </c>
      <c r="B492" t="s">
        <v>202</v>
      </c>
      <c r="C492" s="1" t="s">
        <v>20</v>
      </c>
      <c r="D492">
        <v>0</v>
      </c>
      <c r="E492">
        <v>0</v>
      </c>
      <c r="F492">
        <v>0</v>
      </c>
      <c r="G492">
        <v>0</v>
      </c>
      <c r="H492">
        <v>0</v>
      </c>
      <c r="I492" s="1">
        <v>45391</v>
      </c>
      <c r="J492" s="1">
        <v>45391</v>
      </c>
      <c r="K492" s="1">
        <v>45391</v>
      </c>
      <c r="L492" s="1">
        <v>45391</v>
      </c>
      <c r="M492" s="1">
        <v>45391</v>
      </c>
      <c r="N492" s="5"/>
      <c r="S492" s="6"/>
      <c r="T492" s="5">
        <f t="shared" si="71"/>
        <v>0</v>
      </c>
      <c r="U492" s="10">
        <f t="shared" si="72"/>
        <v>0</v>
      </c>
      <c r="V492" s="10">
        <f t="shared" si="73"/>
        <v>0</v>
      </c>
      <c r="W492" s="10">
        <f t="shared" si="74"/>
        <v>0</v>
      </c>
      <c r="X492" s="6">
        <f t="shared" si="75"/>
        <v>0</v>
      </c>
      <c r="Y492" s="5">
        <f t="shared" si="76"/>
        <v>0</v>
      </c>
      <c r="Z492" s="10">
        <f t="shared" si="77"/>
        <v>0</v>
      </c>
      <c r="AA492" s="10">
        <f t="shared" si="78"/>
        <v>0</v>
      </c>
      <c r="AB492" s="10">
        <f t="shared" si="79"/>
        <v>0</v>
      </c>
      <c r="AC492" s="6">
        <f t="shared" si="80"/>
        <v>0</v>
      </c>
    </row>
    <row r="493" spans="1:29" x14ac:dyDescent="0.25">
      <c r="A493" t="s">
        <v>114</v>
      </c>
      <c r="B493" t="s">
        <v>271</v>
      </c>
      <c r="C493" s="1" t="s">
        <v>20</v>
      </c>
      <c r="D493">
        <v>0</v>
      </c>
      <c r="E493">
        <v>0</v>
      </c>
      <c r="F493">
        <v>0</v>
      </c>
      <c r="G493">
        <v>0</v>
      </c>
      <c r="H493">
        <v>0</v>
      </c>
      <c r="I493" s="1">
        <v>45391</v>
      </c>
      <c r="J493" s="1">
        <v>45391</v>
      </c>
      <c r="K493" s="1">
        <v>45391</v>
      </c>
      <c r="L493" s="1">
        <v>45391</v>
      </c>
      <c r="M493" s="1">
        <v>45391</v>
      </c>
      <c r="N493" s="5"/>
      <c r="S493" s="6"/>
      <c r="T493" s="5">
        <f t="shared" si="71"/>
        <v>0</v>
      </c>
      <c r="U493" s="10">
        <f t="shared" si="72"/>
        <v>0</v>
      </c>
      <c r="V493" s="10">
        <f t="shared" si="73"/>
        <v>0</v>
      </c>
      <c r="W493" s="10">
        <f t="shared" si="74"/>
        <v>0</v>
      </c>
      <c r="X493" s="6">
        <f t="shared" si="75"/>
        <v>0</v>
      </c>
      <c r="Y493" s="5">
        <f t="shared" si="76"/>
        <v>0</v>
      </c>
      <c r="Z493" s="10">
        <f t="shared" si="77"/>
        <v>0</v>
      </c>
      <c r="AA493" s="10">
        <f t="shared" si="78"/>
        <v>0</v>
      </c>
      <c r="AB493" s="10">
        <f t="shared" si="79"/>
        <v>0</v>
      </c>
      <c r="AC493" s="6">
        <f t="shared" si="80"/>
        <v>0</v>
      </c>
    </row>
    <row r="494" spans="1:29" x14ac:dyDescent="0.25">
      <c r="A494" t="s">
        <v>114</v>
      </c>
      <c r="B494" t="s">
        <v>320</v>
      </c>
      <c r="C494" s="1" t="s">
        <v>20</v>
      </c>
      <c r="D494">
        <v>0</v>
      </c>
      <c r="E494">
        <v>0</v>
      </c>
      <c r="F494">
        <v>0</v>
      </c>
      <c r="G494">
        <v>0</v>
      </c>
      <c r="H494">
        <v>0</v>
      </c>
      <c r="I494" s="1">
        <v>45391</v>
      </c>
      <c r="J494" s="1">
        <v>45391</v>
      </c>
      <c r="K494" s="1">
        <v>45391</v>
      </c>
      <c r="L494" s="1">
        <v>45391</v>
      </c>
      <c r="M494" s="1">
        <v>45391</v>
      </c>
      <c r="N494" s="5"/>
      <c r="S494" s="6"/>
      <c r="T494" s="5">
        <f t="shared" si="71"/>
        <v>0</v>
      </c>
      <c r="U494" s="10">
        <f t="shared" si="72"/>
        <v>0</v>
      </c>
      <c r="V494" s="10">
        <f t="shared" si="73"/>
        <v>0</v>
      </c>
      <c r="W494" s="10">
        <f t="shared" si="74"/>
        <v>0</v>
      </c>
      <c r="X494" s="6">
        <f t="shared" si="75"/>
        <v>0</v>
      </c>
      <c r="Y494" s="5">
        <f t="shared" si="76"/>
        <v>0</v>
      </c>
      <c r="Z494" s="10">
        <f t="shared" si="77"/>
        <v>0</v>
      </c>
      <c r="AA494" s="10">
        <f t="shared" si="78"/>
        <v>0</v>
      </c>
      <c r="AB494" s="10">
        <f t="shared" si="79"/>
        <v>0</v>
      </c>
      <c r="AC494" s="6">
        <f t="shared" si="80"/>
        <v>0</v>
      </c>
    </row>
    <row r="495" spans="1:29" x14ac:dyDescent="0.25">
      <c r="A495" t="s">
        <v>114</v>
      </c>
      <c r="B495" t="s">
        <v>116</v>
      </c>
      <c r="C495" s="1" t="s">
        <v>20</v>
      </c>
      <c r="D495">
        <v>0</v>
      </c>
      <c r="E495">
        <v>0</v>
      </c>
      <c r="F495">
        <v>0</v>
      </c>
      <c r="G495">
        <v>0</v>
      </c>
      <c r="H495">
        <v>0</v>
      </c>
      <c r="I495" s="1">
        <v>45391</v>
      </c>
      <c r="J495" s="1">
        <v>45391</v>
      </c>
      <c r="K495" s="1">
        <v>45391</v>
      </c>
      <c r="L495" s="1">
        <v>45391</v>
      </c>
      <c r="M495" s="1">
        <v>45391</v>
      </c>
      <c r="N495" s="5"/>
      <c r="S495" s="6"/>
      <c r="T495" s="5">
        <f t="shared" si="71"/>
        <v>0</v>
      </c>
      <c r="U495" s="10">
        <f t="shared" si="72"/>
        <v>0</v>
      </c>
      <c r="V495" s="10">
        <f t="shared" si="73"/>
        <v>0</v>
      </c>
      <c r="W495" s="10">
        <f t="shared" si="74"/>
        <v>0</v>
      </c>
      <c r="X495" s="6">
        <f t="shared" si="75"/>
        <v>0</v>
      </c>
      <c r="Y495" s="5">
        <f t="shared" si="76"/>
        <v>0</v>
      </c>
      <c r="Z495" s="10">
        <f t="shared" si="77"/>
        <v>0</v>
      </c>
      <c r="AA495" s="10">
        <f t="shared" si="78"/>
        <v>0</v>
      </c>
      <c r="AB495" s="10">
        <f t="shared" si="79"/>
        <v>0</v>
      </c>
      <c r="AC495" s="6">
        <f t="shared" si="80"/>
        <v>0</v>
      </c>
    </row>
    <row r="496" spans="1:29" x14ac:dyDescent="0.25">
      <c r="A496" t="s">
        <v>114</v>
      </c>
      <c r="B496" t="s">
        <v>128</v>
      </c>
      <c r="C496" s="1" t="s">
        <v>20</v>
      </c>
      <c r="D496">
        <v>0</v>
      </c>
      <c r="E496">
        <v>0</v>
      </c>
      <c r="F496">
        <v>0</v>
      </c>
      <c r="G496">
        <v>0</v>
      </c>
      <c r="H496">
        <v>0</v>
      </c>
      <c r="I496" s="1">
        <v>45391</v>
      </c>
      <c r="J496" s="1">
        <v>45391</v>
      </c>
      <c r="K496" s="1">
        <v>45391</v>
      </c>
      <c r="L496" s="1">
        <v>45391</v>
      </c>
      <c r="M496" s="1">
        <v>45391</v>
      </c>
      <c r="N496" s="5"/>
      <c r="S496" s="6"/>
      <c r="T496" s="5">
        <f t="shared" si="71"/>
        <v>0</v>
      </c>
      <c r="U496" s="10">
        <f t="shared" si="72"/>
        <v>0</v>
      </c>
      <c r="V496" s="10">
        <f t="shared" si="73"/>
        <v>0</v>
      </c>
      <c r="W496" s="10">
        <f t="shared" si="74"/>
        <v>0</v>
      </c>
      <c r="X496" s="6">
        <f t="shared" si="75"/>
        <v>0</v>
      </c>
      <c r="Y496" s="5">
        <f t="shared" si="76"/>
        <v>0</v>
      </c>
      <c r="Z496" s="10">
        <f t="shared" si="77"/>
        <v>0</v>
      </c>
      <c r="AA496" s="10">
        <f t="shared" si="78"/>
        <v>0</v>
      </c>
      <c r="AB496" s="10">
        <f t="shared" si="79"/>
        <v>0</v>
      </c>
      <c r="AC496" s="6">
        <f t="shared" si="80"/>
        <v>0</v>
      </c>
    </row>
    <row r="497" spans="1:29" x14ac:dyDescent="0.25">
      <c r="A497" t="s">
        <v>114</v>
      </c>
      <c r="B497" t="s">
        <v>265</v>
      </c>
      <c r="C497" s="1" t="s">
        <v>20</v>
      </c>
      <c r="D497">
        <v>32</v>
      </c>
      <c r="E497">
        <v>32</v>
      </c>
      <c r="F497">
        <v>0</v>
      </c>
      <c r="G497">
        <v>0</v>
      </c>
      <c r="H497">
        <v>0</v>
      </c>
      <c r="I497" s="1">
        <v>45423</v>
      </c>
      <c r="J497" s="1">
        <v>45423</v>
      </c>
      <c r="K497" s="1">
        <v>45391</v>
      </c>
      <c r="L497" s="1">
        <v>45391</v>
      </c>
      <c r="M497" s="1">
        <v>45391</v>
      </c>
      <c r="N497" s="5">
        <v>3573.926680510127</v>
      </c>
      <c r="O497">
        <v>3745.643246816976</v>
      </c>
      <c r="P497">
        <v>3745.643246816976</v>
      </c>
      <c r="S497" s="6"/>
      <c r="T497" s="5">
        <f t="shared" si="71"/>
        <v>4.8047031083004565</v>
      </c>
      <c r="U497" s="10">
        <f t="shared" si="72"/>
        <v>4.8047031083004565</v>
      </c>
      <c r="V497" s="10">
        <f t="shared" si="73"/>
        <v>0</v>
      </c>
      <c r="W497" s="10">
        <f t="shared" si="74"/>
        <v>0</v>
      </c>
      <c r="X497" s="6">
        <f t="shared" si="75"/>
        <v>0</v>
      </c>
      <c r="Y497" s="5">
        <f t="shared" si="76"/>
        <v>48.047031083004569</v>
      </c>
      <c r="Z497" s="10">
        <f t="shared" si="77"/>
        <v>48.047031083004569</v>
      </c>
      <c r="AA497" s="10">
        <f t="shared" si="78"/>
        <v>0</v>
      </c>
      <c r="AB497" s="10">
        <f t="shared" si="79"/>
        <v>0</v>
      </c>
      <c r="AC497" s="6">
        <f t="shared" si="80"/>
        <v>0</v>
      </c>
    </row>
    <row r="498" spans="1:29" x14ac:dyDescent="0.25">
      <c r="A498" t="s">
        <v>114</v>
      </c>
      <c r="B498" t="s">
        <v>137</v>
      </c>
      <c r="C498" s="1" t="s">
        <v>20</v>
      </c>
      <c r="D498">
        <v>0</v>
      </c>
      <c r="E498">
        <v>0</v>
      </c>
      <c r="F498">
        <v>0</v>
      </c>
      <c r="G498">
        <v>0</v>
      </c>
      <c r="H498">
        <v>0</v>
      </c>
      <c r="I498" s="1">
        <v>45391</v>
      </c>
      <c r="J498" s="1">
        <v>45391</v>
      </c>
      <c r="K498" s="1">
        <v>45391</v>
      </c>
      <c r="L498" s="1">
        <v>45391</v>
      </c>
      <c r="M498" s="1">
        <v>45391</v>
      </c>
      <c r="N498" s="5"/>
      <c r="S498" s="6"/>
      <c r="T498" s="5">
        <f t="shared" si="71"/>
        <v>0</v>
      </c>
      <c r="U498" s="10">
        <f t="shared" si="72"/>
        <v>0</v>
      </c>
      <c r="V498" s="10">
        <f t="shared" si="73"/>
        <v>0</v>
      </c>
      <c r="W498" s="10">
        <f t="shared" si="74"/>
        <v>0</v>
      </c>
      <c r="X498" s="6">
        <f t="shared" si="75"/>
        <v>0</v>
      </c>
      <c r="Y498" s="5">
        <f t="shared" si="76"/>
        <v>0</v>
      </c>
      <c r="Z498" s="10">
        <f t="shared" si="77"/>
        <v>0</v>
      </c>
      <c r="AA498" s="10">
        <f t="shared" si="78"/>
        <v>0</v>
      </c>
      <c r="AB498" s="10">
        <f t="shared" si="79"/>
        <v>0</v>
      </c>
      <c r="AC498" s="6">
        <f t="shared" si="80"/>
        <v>0</v>
      </c>
    </row>
    <row r="499" spans="1:29" ht="15.75" thickBot="1" x14ac:dyDescent="0.3">
      <c r="A499" t="s">
        <v>114</v>
      </c>
      <c r="B499" t="s">
        <v>80</v>
      </c>
      <c r="C499" s="1" t="s">
        <v>20</v>
      </c>
      <c r="D499">
        <v>0</v>
      </c>
      <c r="E499">
        <v>0</v>
      </c>
      <c r="F499">
        <v>0</v>
      </c>
      <c r="G499">
        <v>0</v>
      </c>
      <c r="H499">
        <v>20</v>
      </c>
      <c r="I499" s="1">
        <v>45391</v>
      </c>
      <c r="J499" s="1">
        <v>45391</v>
      </c>
      <c r="K499" s="1">
        <v>45391</v>
      </c>
      <c r="L499" s="1">
        <v>45391</v>
      </c>
      <c r="M499" s="1">
        <v>45411</v>
      </c>
      <c r="N499" s="5">
        <v>208.99081951353489</v>
      </c>
      <c r="S499" s="6">
        <v>194.83067725307711</v>
      </c>
      <c r="T499" s="5">
        <f t="shared" si="71"/>
        <v>0</v>
      </c>
      <c r="U499" s="10">
        <f t="shared" si="72"/>
        <v>0</v>
      </c>
      <c r="V499" s="10">
        <f t="shared" si="73"/>
        <v>0</v>
      </c>
      <c r="W499" s="10">
        <f t="shared" si="74"/>
        <v>0</v>
      </c>
      <c r="X499" s="6">
        <f t="shared" si="75"/>
        <v>-6.7754853028559552</v>
      </c>
      <c r="Y499" s="5">
        <f t="shared" si="76"/>
        <v>0</v>
      </c>
      <c r="Z499" s="10">
        <f t="shared" si="77"/>
        <v>0</v>
      </c>
      <c r="AA499" s="10">
        <f t="shared" si="78"/>
        <v>0</v>
      </c>
      <c r="AB499" s="10">
        <f t="shared" si="79"/>
        <v>0</v>
      </c>
      <c r="AC499" s="6">
        <f t="shared" si="80"/>
        <v>-67.754853028559552</v>
      </c>
    </row>
    <row r="500" spans="1:29" ht="15.75" thickBot="1" x14ac:dyDescent="0.3">
      <c r="A500" t="s">
        <v>114</v>
      </c>
      <c r="B500" t="s">
        <v>43</v>
      </c>
      <c r="C500" s="1" t="s">
        <v>20</v>
      </c>
      <c r="D500">
        <v>0</v>
      </c>
      <c r="E500">
        <v>0</v>
      </c>
      <c r="F500">
        <v>0</v>
      </c>
      <c r="G500">
        <v>0</v>
      </c>
      <c r="H500">
        <v>0</v>
      </c>
      <c r="I500" s="1">
        <v>45391</v>
      </c>
      <c r="J500" s="1">
        <v>45391</v>
      </c>
      <c r="K500" s="1">
        <v>45391</v>
      </c>
      <c r="L500" s="1">
        <v>45391</v>
      </c>
      <c r="M500" s="1">
        <v>45391</v>
      </c>
      <c r="N500" s="7"/>
      <c r="O500" s="8"/>
      <c r="P500" s="8"/>
      <c r="Q500" s="8"/>
      <c r="R500" s="8"/>
      <c r="S500" s="9"/>
      <c r="T500" s="7">
        <f>SUM(T3:T499)</f>
        <v>65.303917183959143</v>
      </c>
      <c r="U500" s="8">
        <f>SUM(U3:U499)</f>
        <v>149.14018390281714</v>
      </c>
      <c r="V500" s="8">
        <f>SUM(V3:V499)</f>
        <v>-6.2556030062039714</v>
      </c>
      <c r="W500" s="8">
        <f>SUM(W3:W499)</f>
        <v>481.19832743962252</v>
      </c>
      <c r="X500" s="8">
        <f>SUM(X3:X499)</f>
        <v>31.333889537551109</v>
      </c>
      <c r="Y500" s="12">
        <f t="shared" si="76"/>
        <v>653.0391718395914</v>
      </c>
      <c r="Z500" s="13">
        <f>1000 * U500/100</f>
        <v>1491.4018390281715</v>
      </c>
      <c r="AA500" s="13">
        <f t="shared" si="78"/>
        <v>-62.556030062039717</v>
      </c>
      <c r="AB500" s="13">
        <f t="shared" si="79"/>
        <v>4811.9832743962252</v>
      </c>
      <c r="AC500" s="14">
        <f t="shared" si="80"/>
        <v>313.33889537551107</v>
      </c>
    </row>
    <row r="501" spans="1:29" ht="15.75" thickBot="1" x14ac:dyDescent="0.3">
      <c r="Y501" s="15">
        <v>25</v>
      </c>
      <c r="Z501" s="16">
        <v>70</v>
      </c>
      <c r="AA501" s="16">
        <v>19</v>
      </c>
      <c r="AB501" s="16">
        <v>28</v>
      </c>
      <c r="AC501" s="17">
        <v>35</v>
      </c>
    </row>
    <row r="502" spans="1:29" x14ac:dyDescent="0.25">
      <c r="Y502" s="11">
        <f>(((Y501*1000)+Y500)/(Y501*1000))</f>
        <v>1.0261215668735837</v>
      </c>
      <c r="Z502" s="11">
        <f t="shared" ref="Z502:AC502" si="81">(((Z501*1000)+Z500)/(Z501*1000))</f>
        <v>1.0213057405575452</v>
      </c>
      <c r="AA502" s="11">
        <f t="shared" si="81"/>
        <v>0.99670757736515592</v>
      </c>
      <c r="AB502" s="11">
        <f t="shared" si="81"/>
        <v>1.171856545514151</v>
      </c>
      <c r="AC502" s="11">
        <f t="shared" si="81"/>
        <v>1.0089525398678718</v>
      </c>
    </row>
    <row r="503" spans="1:29" x14ac:dyDescent="0.25">
      <c r="Y503">
        <f>(Y502-1)*100</f>
        <v>2.612156687358369</v>
      </c>
      <c r="Z503">
        <f t="shared" ref="Z503:AC503" si="82">(Z502-1)*100</f>
        <v>2.1305740557545194</v>
      </c>
      <c r="AA503">
        <f t="shared" si="82"/>
        <v>-0.32924226348440833</v>
      </c>
      <c r="AB503">
        <f t="shared" si="82"/>
        <v>17.185654551415098</v>
      </c>
      <c r="AC503">
        <f t="shared" si="82"/>
        <v>0.89525398678718116</v>
      </c>
    </row>
    <row r="507" spans="1:29" ht="15.75" thickBot="1" x14ac:dyDescent="0.3"/>
    <row r="508" spans="1:29" ht="15.75" thickBot="1" x14ac:dyDescent="0.3">
      <c r="Q508" s="21" t="s">
        <v>333</v>
      </c>
      <c r="R508" s="22" t="s">
        <v>334</v>
      </c>
      <c r="S508" s="22" t="s">
        <v>335</v>
      </c>
      <c r="T508" s="22" t="s">
        <v>336</v>
      </c>
      <c r="U508" s="23" t="s">
        <v>337</v>
      </c>
    </row>
    <row r="509" spans="1:29" x14ac:dyDescent="0.25">
      <c r="P509" s="12" t="s">
        <v>338</v>
      </c>
      <c r="Q509" s="19">
        <v>653.0391718395914</v>
      </c>
      <c r="R509" s="19">
        <v>1491.4018390281715</v>
      </c>
      <c r="S509" s="19">
        <v>-62.556030062039717</v>
      </c>
      <c r="T509" s="19">
        <v>4811.9832743962252</v>
      </c>
      <c r="U509" s="20">
        <v>313.33889537551107</v>
      </c>
    </row>
    <row r="510" spans="1:29" x14ac:dyDescent="0.25">
      <c r="P510" s="18" t="s">
        <v>339</v>
      </c>
      <c r="Q510" s="24">
        <v>25</v>
      </c>
      <c r="R510" s="24">
        <v>70</v>
      </c>
      <c r="S510" s="24">
        <v>19</v>
      </c>
      <c r="T510" s="24">
        <v>28</v>
      </c>
      <c r="U510" s="26">
        <v>35</v>
      </c>
    </row>
    <row r="511" spans="1:29" ht="15.75" thickBot="1" x14ac:dyDescent="0.3">
      <c r="P511" s="25" t="s">
        <v>340</v>
      </c>
      <c r="Q511" s="27">
        <v>2.612156687358369</v>
      </c>
      <c r="R511" s="27">
        <v>2.1305740557545194</v>
      </c>
      <c r="S511" s="27">
        <v>-0.32924226348440833</v>
      </c>
      <c r="T511" s="27">
        <v>17.185654551415098</v>
      </c>
      <c r="U511" s="28">
        <v>0.89525398678718116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</dc:creator>
  <cp:lastModifiedBy>Mikołaj Mieszczok (mm306640)</cp:lastModifiedBy>
  <dcterms:created xsi:type="dcterms:W3CDTF">2015-06-05T18:17:20Z</dcterms:created>
  <dcterms:modified xsi:type="dcterms:W3CDTF">2025-06-12T13:28:05Z</dcterms:modified>
</cp:coreProperties>
</file>